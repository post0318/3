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3715" windowHeight="12570"/>
  </bookViews>
  <sheets>
    <sheet name="입력 레이아웃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3" i="1"/>
  <c r="B12"/>
  <c r="F9"/>
  <c r="D8"/>
  <c r="D9" s="1"/>
  <c r="D7" s="1"/>
  <c r="F7"/>
  <c r="D6"/>
  <c r="F5"/>
  <c r="D4"/>
  <c r="D11" l="1"/>
  <c r="D12"/>
  <c r="D13" s="1"/>
  <c r="F8" l="1"/>
  <c r="F11" s="1"/>
  <c r="F10"/>
  <c r="F12" s="1"/>
  <c r="F13" s="1"/>
</calcChain>
</file>

<file path=xl/sharedStrings.xml><?xml version="1.0" encoding="utf-8"?>
<sst xmlns="http://schemas.openxmlformats.org/spreadsheetml/2006/main" count="42" uniqueCount="41">
  <si>
    <t>날짜계산 기준</t>
    <phoneticPr fontId="4" type="noConversion"/>
  </si>
  <si>
    <t>미국 30/360</t>
  </si>
  <si>
    <t>소득자구분</t>
    <phoneticPr fontId="4" type="noConversion"/>
  </si>
  <si>
    <t>개인</t>
  </si>
  <si>
    <t>편입자산정보</t>
    <phoneticPr fontId="9" type="noConversion"/>
  </si>
  <si>
    <t>매수내역</t>
    <phoneticPr fontId="9" type="noConversion"/>
  </si>
  <si>
    <t>종목명</t>
    <phoneticPr fontId="4" type="noConversion"/>
  </si>
  <si>
    <t>KORELE 7.95 04/01/2096</t>
    <phoneticPr fontId="4" type="noConversion"/>
  </si>
  <si>
    <t>매수가능금액</t>
    <phoneticPr fontId="9" type="noConversion"/>
  </si>
  <si>
    <t>선취보수율</t>
    <phoneticPr fontId="9" type="noConversion"/>
  </si>
  <si>
    <t>발행일</t>
  </si>
  <si>
    <t>신탁계약일</t>
    <phoneticPr fontId="9" type="noConversion"/>
  </si>
  <si>
    <t>선취금액</t>
    <phoneticPr fontId="9" type="noConversion"/>
  </si>
  <si>
    <t>만기일</t>
  </si>
  <si>
    <t>신탁만기일</t>
    <phoneticPr fontId="4" type="noConversion"/>
  </si>
  <si>
    <t>후취보수율</t>
    <phoneticPr fontId="9" type="noConversion"/>
  </si>
  <si>
    <t>표면이율</t>
  </si>
  <si>
    <t>채권권면액</t>
    <phoneticPr fontId="9" type="noConversion"/>
  </si>
  <si>
    <t>투자일수</t>
    <phoneticPr fontId="9" type="noConversion"/>
  </si>
  <si>
    <t>이자지급 주기</t>
    <phoneticPr fontId="9" type="noConversion"/>
  </si>
  <si>
    <t>6개월</t>
  </si>
  <si>
    <t>매수단가(clean)</t>
    <phoneticPr fontId="9" type="noConversion"/>
  </si>
  <si>
    <t>만기시 세전금액</t>
    <phoneticPr fontId="9" type="noConversion"/>
  </si>
  <si>
    <t>해외신용등급</t>
  </si>
  <si>
    <t>무디스: Aa2  / S&amp;P: AA</t>
    <phoneticPr fontId="4" type="noConversion"/>
  </si>
  <si>
    <t>매수단가(dirty)</t>
    <phoneticPr fontId="9" type="noConversion"/>
  </si>
  <si>
    <t>마지막 후취보수</t>
    <phoneticPr fontId="4" type="noConversion"/>
  </si>
  <si>
    <t>거래통화</t>
    <phoneticPr fontId="4" type="noConversion"/>
  </si>
  <si>
    <t>USD</t>
  </si>
  <si>
    <t>매수금리(YTM)</t>
    <phoneticPr fontId="9" type="noConversion"/>
  </si>
  <si>
    <t>만기시 세후금액</t>
    <phoneticPr fontId="9" type="noConversion"/>
  </si>
  <si>
    <t>수탁통화</t>
    <phoneticPr fontId="4" type="noConversion"/>
  </si>
  <si>
    <t>경과이자(100$)</t>
    <phoneticPr fontId="9" type="noConversion"/>
  </si>
  <si>
    <t>세전수익률</t>
    <phoneticPr fontId="9" type="noConversion"/>
  </si>
  <si>
    <t>매수환율(예상)</t>
    <phoneticPr fontId="9" type="noConversion"/>
  </si>
  <si>
    <t>결제금액</t>
    <phoneticPr fontId="9" type="noConversion"/>
  </si>
  <si>
    <t>세후수익률</t>
    <phoneticPr fontId="9" type="noConversion"/>
  </si>
  <si>
    <t>만기예상환율(예상)</t>
    <phoneticPr fontId="9" type="noConversion"/>
  </si>
  <si>
    <t>현금잔액</t>
    <phoneticPr fontId="9" type="noConversion"/>
  </si>
  <si>
    <t>은행환산수익률</t>
    <phoneticPr fontId="9" type="noConversion"/>
  </si>
  <si>
    <t>상품수익률</t>
    <phoneticPr fontId="9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</si>
</sst>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#,##0_ "/>
    <numFmt numFmtId="177" formatCode="#,##0_);[Red]\(#,##0\)"/>
    <numFmt numFmtId="178" formatCode="0.000%"/>
    <numFmt numFmtId="179" formatCode="#,##0.000000_);[Red]\(#,##0.000000\)"/>
    <numFmt numFmtId="180" formatCode="0.00000%"/>
    <numFmt numFmtId="181" formatCode="#,##0.00_);[Red]\(#,##0.00\)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3" fillId="0" borderId="0" xfId="2" applyFont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1" fontId="5" fillId="0" borderId="1" xfId="3" quotePrefix="1" applyFont="1" applyBorder="1" applyAlignment="1">
      <alignment horizontal="center" vertical="center"/>
    </xf>
    <xf numFmtId="0" fontId="3" fillId="0" borderId="0" xfId="2" applyFont="1" applyBorder="1" applyAlignment="1">
      <alignment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14" fontId="10" fillId="3" borderId="1" xfId="2" applyNumberFormat="1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177" fontId="11" fillId="0" borderId="1" xfId="1" applyNumberFormat="1" applyFont="1" applyFill="1" applyBorder="1" applyAlignment="1">
      <alignment horizontal="center" vertical="center"/>
    </xf>
    <xf numFmtId="10" fontId="8" fillId="4" borderId="1" xfId="4" applyNumberFormat="1" applyFont="1" applyFill="1" applyBorder="1" applyAlignment="1">
      <alignment horizontal="center" vertical="center"/>
    </xf>
    <xf numFmtId="14" fontId="10" fillId="0" borderId="1" xfId="2" applyNumberFormat="1" applyFont="1" applyFill="1" applyBorder="1" applyAlignment="1">
      <alignment horizontal="center" vertical="center"/>
    </xf>
    <xf numFmtId="14" fontId="8" fillId="4" borderId="1" xfId="2" applyNumberFormat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vertical="center"/>
    </xf>
    <xf numFmtId="14" fontId="8" fillId="0" borderId="1" xfId="2" applyNumberFormat="1" applyFont="1" applyFill="1" applyBorder="1" applyAlignment="1">
      <alignment horizontal="center" vertical="center"/>
    </xf>
    <xf numFmtId="178" fontId="10" fillId="0" borderId="1" xfId="2" applyNumberFormat="1" applyFont="1" applyFill="1" applyBorder="1" applyAlignment="1">
      <alignment horizontal="center" vertical="center"/>
    </xf>
    <xf numFmtId="177" fontId="8" fillId="4" borderId="1" xfId="2" applyNumberFormat="1" applyFont="1" applyFill="1" applyBorder="1" applyAlignment="1">
      <alignment horizontal="center" vertical="center"/>
    </xf>
    <xf numFmtId="41" fontId="10" fillId="0" borderId="1" xfId="3" applyFont="1" applyFill="1" applyBorder="1" applyAlignment="1">
      <alignment vertical="center"/>
    </xf>
    <xf numFmtId="0" fontId="10" fillId="0" borderId="1" xfId="2" applyNumberFormat="1" applyFont="1" applyFill="1" applyBorder="1" applyAlignment="1">
      <alignment horizontal="center" vertical="center"/>
    </xf>
    <xf numFmtId="179" fontId="8" fillId="0" borderId="1" xfId="2" applyNumberFormat="1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vertical="center"/>
    </xf>
    <xf numFmtId="178" fontId="12" fillId="0" borderId="1" xfId="2" applyNumberFormat="1" applyFont="1" applyFill="1" applyBorder="1" applyAlignment="1">
      <alignment horizontal="center" vertical="center" wrapText="1"/>
    </xf>
    <xf numFmtId="179" fontId="10" fillId="0" borderId="1" xfId="2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180" fontId="11" fillId="5" borderId="1" xfId="2" applyNumberFormat="1" applyFont="1" applyFill="1" applyBorder="1" applyAlignment="1">
      <alignment horizontal="center" vertical="center"/>
    </xf>
    <xf numFmtId="181" fontId="8" fillId="0" borderId="1" xfId="3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10" fontId="8" fillId="0" borderId="1" xfId="4" applyNumberFormat="1" applyFont="1" applyFill="1" applyBorder="1" applyAlignment="1">
      <alignment horizontal="center" vertical="center"/>
    </xf>
    <xf numFmtId="181" fontId="10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</cellXfs>
  <cellStyles count="5">
    <cellStyle name="백분율 6" xfId="4"/>
    <cellStyle name="쉼표 [0]" xfId="1" builtinId="6"/>
    <cellStyle name="쉼표 [0] 36" xfId="3"/>
    <cellStyle name="표준" xfId="0" builtinId="0"/>
    <cellStyle name="표준_교보생명2-1 모의투자내역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F20" sqref="F20"/>
    </sheetView>
  </sheetViews>
  <sheetFormatPr defaultRowHeight="16.5"/>
  <cols>
    <col min="1" max="1" width="15" bestFit="1" customWidth="1"/>
    <col min="2" max="2" width="19.875" bestFit="1" customWidth="1"/>
    <col min="3" max="3" width="12.25" bestFit="1" customWidth="1"/>
    <col min="4" max="4" width="18.25" customWidth="1"/>
    <col min="5" max="5" width="12.25" bestFit="1" customWidth="1"/>
    <col min="6" max="6" width="19.375" customWidth="1"/>
  </cols>
  <sheetData>
    <row r="1" spans="1:6" ht="24">
      <c r="A1" s="1" t="s">
        <v>0</v>
      </c>
      <c r="B1" s="2" t="s">
        <v>1</v>
      </c>
      <c r="C1" s="3"/>
      <c r="D1" s="3"/>
      <c r="E1" s="3"/>
      <c r="F1" s="3"/>
    </row>
    <row r="2" spans="1:6">
      <c r="A2" s="4" t="s">
        <v>2</v>
      </c>
      <c r="B2" s="5" t="s">
        <v>3</v>
      </c>
      <c r="E2" s="6"/>
      <c r="F2" s="6"/>
    </row>
    <row r="3" spans="1:6">
      <c r="A3" s="7" t="s">
        <v>4</v>
      </c>
      <c r="B3" s="7"/>
      <c r="C3" s="8" t="s">
        <v>5</v>
      </c>
      <c r="D3" s="8"/>
      <c r="E3" s="9" t="s">
        <v>40</v>
      </c>
      <c r="F3" s="10"/>
    </row>
    <row r="4" spans="1:6">
      <c r="A4" s="11" t="s">
        <v>6</v>
      </c>
      <c r="B4" s="12" t="s">
        <v>7</v>
      </c>
      <c r="C4" s="13" t="s">
        <v>8</v>
      </c>
      <c r="D4" s="14">
        <f>H5-H5*F4</f>
        <v>0</v>
      </c>
      <c r="E4" s="13" t="s">
        <v>9</v>
      </c>
      <c r="F4" s="15">
        <v>0.03</v>
      </c>
    </row>
    <row r="5" spans="1:6">
      <c r="A5" s="13" t="s">
        <v>10</v>
      </c>
      <c r="B5" s="16">
        <v>35156</v>
      </c>
      <c r="C5" s="13" t="s">
        <v>11</v>
      </c>
      <c r="D5" s="17">
        <v>46258</v>
      </c>
      <c r="E5" s="13" t="s">
        <v>12</v>
      </c>
      <c r="F5" s="18">
        <f>TRUNC(H5*F4,0)</f>
        <v>0</v>
      </c>
    </row>
    <row r="6" spans="1:6">
      <c r="A6" s="13" t="s">
        <v>13</v>
      </c>
      <c r="B6" s="16">
        <v>71681</v>
      </c>
      <c r="C6" s="13" t="s">
        <v>14</v>
      </c>
      <c r="D6" s="19">
        <f>B6+11</f>
        <v>71692</v>
      </c>
      <c r="E6" s="13" t="s">
        <v>15</v>
      </c>
      <c r="F6" s="15">
        <v>5.0000000000000001E-3</v>
      </c>
    </row>
    <row r="7" spans="1:6">
      <c r="A7" s="13" t="s">
        <v>16</v>
      </c>
      <c r="B7" s="20">
        <v>7.9500000000000001E-2</v>
      </c>
      <c r="C7" s="13" t="s">
        <v>17</v>
      </c>
      <c r="D7" s="21" t="e">
        <f>IF(B11="krw",ROUNDDOWN(D4/B12/D9*100,-3),ROUNDDOWN(D4/D9*100,-3))</f>
        <v>#NUM!</v>
      </c>
      <c r="E7" s="13" t="s">
        <v>18</v>
      </c>
      <c r="F7" s="22">
        <f>+D6-D5</f>
        <v>25434</v>
      </c>
    </row>
    <row r="8" spans="1:6">
      <c r="A8" s="13" t="s">
        <v>19</v>
      </c>
      <c r="B8" s="23" t="s">
        <v>20</v>
      </c>
      <c r="C8" s="13" t="s">
        <v>21</v>
      </c>
      <c r="D8" s="24" t="e">
        <f>ROUNDUP(PRICE($N$10,$B$6,$B$7,$D$10,100,IF($B$8=N7,1,IF($B$8=N6,2,4))),4)</f>
        <v>#NUM!</v>
      </c>
      <c r="E8" s="25" t="s">
        <v>22</v>
      </c>
      <c r="F8" s="26" t="e">
        <f>IF(B11="krw",TRUNC(C161+(B161*B13)+D13-($H$5*F6/365*F7),0),TRUNC(C161+(B161)+D13-($H$5*F6/365*F7),0))</f>
        <v>#NUM!</v>
      </c>
    </row>
    <row r="9" spans="1:6">
      <c r="A9" s="13" t="s">
        <v>23</v>
      </c>
      <c r="B9" s="27" t="s">
        <v>24</v>
      </c>
      <c r="C9" s="13" t="s">
        <v>25</v>
      </c>
      <c r="D9" s="28" t="e">
        <f>ROUNDUP(D8+(100*$B$7*YEARFRAC($N$11,$N$10,IF(B1=M5,0,IF(B1=M6,1,IF(B1=M7,2,IF(B1=M8,3,4)))))),4)</f>
        <v>#NUM!</v>
      </c>
      <c r="E9" s="29" t="s">
        <v>26</v>
      </c>
      <c r="F9" s="26">
        <f>TRUNC(H5*F6/365*(D6-B6),0)</f>
        <v>0</v>
      </c>
    </row>
    <row r="10" spans="1:6">
      <c r="A10" s="13" t="s">
        <v>27</v>
      </c>
      <c r="B10" s="27" t="s">
        <v>28</v>
      </c>
      <c r="C10" s="13" t="s">
        <v>29</v>
      </c>
      <c r="D10" s="30">
        <v>5.2999999999999999E-2</v>
      </c>
      <c r="E10" s="25" t="s">
        <v>30</v>
      </c>
      <c r="F10" s="26" t="e">
        <f>IF(B11="krw",(TRUNC(H161+(B161*B13)+D13-F9,0)),(TRUNC(H161+(B161)+D13-F9,0)))</f>
        <v>#NUM!</v>
      </c>
    </row>
    <row r="11" spans="1:6">
      <c r="A11" s="13" t="s">
        <v>31</v>
      </c>
      <c r="B11" s="21" t="s">
        <v>28</v>
      </c>
      <c r="C11" s="13" t="s">
        <v>32</v>
      </c>
      <c r="D11" s="31" t="e">
        <f>D7*$B$7*YEARFRAC($N$11,$N$10,IF(B1=M5,0,IF(B1=M6,1,IF(B1=M7,2,IF(B1=M8,3,4)))))</f>
        <v>#NUM!</v>
      </c>
      <c r="E11" s="32" t="s">
        <v>33</v>
      </c>
      <c r="F11" s="33" t="e">
        <f>(F8-H5)/H5*365/F7</f>
        <v>#NUM!</v>
      </c>
    </row>
    <row r="12" spans="1:6">
      <c r="A12" s="13" t="s">
        <v>34</v>
      </c>
      <c r="B12" s="34" t="e">
        <f>#REF!</f>
        <v>#REF!</v>
      </c>
      <c r="C12" s="13" t="s">
        <v>35</v>
      </c>
      <c r="D12" s="35" t="e">
        <f>IF(B11="KRW",D7*D9/100*B12,D7*D9/100)</f>
        <v>#NUM!</v>
      </c>
      <c r="E12" s="32" t="s">
        <v>36</v>
      </c>
      <c r="F12" s="33" t="e">
        <f>(F10-H5)/H5*365/F7</f>
        <v>#NUM!</v>
      </c>
    </row>
    <row r="13" spans="1:6">
      <c r="A13" s="13" t="s">
        <v>37</v>
      </c>
      <c r="B13" s="34" t="e">
        <f>#REF!</f>
        <v>#REF!</v>
      </c>
      <c r="C13" s="13" t="s">
        <v>38</v>
      </c>
      <c r="D13" s="36" t="e">
        <f>TRUNC(H5-F5-D12,0)</f>
        <v>#NUM!</v>
      </c>
      <c r="E13" s="32" t="s">
        <v>39</v>
      </c>
      <c r="F13" s="33" t="e">
        <f>F12/(1-0.154)</f>
        <v>#NUM!</v>
      </c>
    </row>
  </sheetData>
  <mergeCells count="3">
    <mergeCell ref="A3:B3"/>
    <mergeCell ref="C3:D3"/>
    <mergeCell ref="E3:F3"/>
  </mergeCells>
  <phoneticPr fontId="4" type="noConversion"/>
  <dataValidations count="4">
    <dataValidation type="list" allowBlank="1" showInputMessage="1" showErrorMessage="1" sqref="B2">
      <formula1>$L$4:$L$6</formula1>
    </dataValidation>
    <dataValidation type="list" allowBlank="1" showInputMessage="1" showErrorMessage="1" sqref="B10:B11">
      <formula1>$O$5:$O$9</formula1>
    </dataValidation>
    <dataValidation type="list" allowBlank="1" showInputMessage="1" showErrorMessage="1" sqref="B8">
      <formula1>$N$5:$N$7</formula1>
    </dataValidation>
    <dataValidation type="list" showInputMessage="1" showErrorMessage="1" sqref="B1">
      <formula1>$M$5:$M$9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입력 레이아웃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2026-08-23T22:37:11Z</dcterms:created>
  <dcterms:modified xsi:type="dcterms:W3CDTF">2026-08-24T00:50:25Z</dcterms:modified>
</cp:coreProperties>
</file>