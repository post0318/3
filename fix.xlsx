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HWPS\Desktop\우선미\업무자료\마이라이프\해외채권\한국전력 96Y\"/>
    </mc:Choice>
  </mc:AlternateContent>
  <xr:revisionPtr revIDLastSave="0" documentId="13_ncr:1_{C27E919B-1342-4B0C-B7F7-925045BD776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한국전력_USD" sheetId="12" r:id="rId1"/>
    <sheet name="석유공사_USD" sheetId="10" state="hidden" r:id="rId2"/>
    <sheet name="블룸버그" sheetId="6" state="hidden" r:id="rId3"/>
  </sheets>
  <definedNames>
    <definedName name="_xlnm.Print_Area" localSheetId="1">석유공사_USD!$A$1:$K$80</definedName>
    <definedName name="_xlnm.Print_Area" localSheetId="0">한국전력_USD!$A$1:$K$183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12" i="12" l="1"/>
  <c r="C15" i="12" l="1"/>
  <c r="C14" i="12" l="1"/>
  <c r="G7" i="12" l="1"/>
  <c r="E6" i="12" l="1"/>
  <c r="H18" i="12" l="1"/>
  <c r="E8" i="12" l="1"/>
  <c r="G11" i="12" s="1"/>
  <c r="E10" i="12" l="1"/>
  <c r="B2" i="12" l="1"/>
  <c r="M19" i="12"/>
  <c r="B19" i="12"/>
  <c r="P19" i="12" s="1"/>
  <c r="O13" i="12"/>
  <c r="G9" i="12"/>
  <c r="I6" i="12"/>
  <c r="E11" i="12" l="1"/>
  <c r="E9" i="12" s="1"/>
  <c r="M20" i="12"/>
  <c r="B20" i="12"/>
  <c r="C19" i="12"/>
  <c r="E14" i="12" l="1"/>
  <c r="P20" i="12"/>
  <c r="D20" i="12"/>
  <c r="E20" i="12" s="1"/>
  <c r="D19" i="12"/>
  <c r="E19" i="12" s="1"/>
  <c r="E13" i="12"/>
  <c r="Q19" i="12"/>
  <c r="B21" i="12"/>
  <c r="M21" i="12"/>
  <c r="C20" i="12"/>
  <c r="I6" i="10"/>
  <c r="E15" i="12" l="1"/>
  <c r="P21" i="12"/>
  <c r="D21" i="12"/>
  <c r="E21" i="12" s="1"/>
  <c r="O19" i="12"/>
  <c r="R19" i="12" s="1"/>
  <c r="M22" i="12"/>
  <c r="B22" i="12"/>
  <c r="C21" i="12"/>
  <c r="C8" i="10"/>
  <c r="E10" i="10"/>
  <c r="G9" i="10"/>
  <c r="P22" i="12" l="1"/>
  <c r="D22" i="12"/>
  <c r="E22" i="12" s="1"/>
  <c r="M23" i="12"/>
  <c r="B23" i="12"/>
  <c r="B19" i="10"/>
  <c r="C19" i="10" s="1"/>
  <c r="P23" i="12" l="1"/>
  <c r="D23" i="12"/>
  <c r="E23" i="12" s="1"/>
  <c r="B24" i="12"/>
  <c r="C23" i="12"/>
  <c r="M24" i="12"/>
  <c r="D19" i="10"/>
  <c r="E19" i="10" s="1"/>
  <c r="C14" i="10"/>
  <c r="B20" i="10"/>
  <c r="P24" i="12" l="1"/>
  <c r="D24" i="12"/>
  <c r="E24" i="12" s="1"/>
  <c r="B25" i="12"/>
  <c r="C24" i="12"/>
  <c r="M25" i="12"/>
  <c r="C20" i="10"/>
  <c r="D20" i="10"/>
  <c r="B21" i="10"/>
  <c r="E13" i="10"/>
  <c r="B2" i="10"/>
  <c r="M19" i="10"/>
  <c r="M20" i="10" s="1"/>
  <c r="M21" i="10" s="1"/>
  <c r="P25" i="12" l="1"/>
  <c r="D25" i="12"/>
  <c r="E25" i="12" s="1"/>
  <c r="M26" i="12"/>
  <c r="B26" i="12"/>
  <c r="C25" i="12"/>
  <c r="C21" i="10"/>
  <c r="D21" i="10"/>
  <c r="E21" i="10" s="1"/>
  <c r="M22" i="10"/>
  <c r="E20" i="10"/>
  <c r="B22" i="10"/>
  <c r="E14" i="10"/>
  <c r="E6" i="10" s="1"/>
  <c r="P26" i="12" l="1"/>
  <c r="D26" i="12"/>
  <c r="E26" i="12" s="1"/>
  <c r="M27" i="12"/>
  <c r="C26" i="12"/>
  <c r="B27" i="12"/>
  <c r="C22" i="10"/>
  <c r="D22" i="10"/>
  <c r="M23" i="10"/>
  <c r="B23" i="10"/>
  <c r="P27" i="12" l="1"/>
  <c r="D27" i="12"/>
  <c r="E27" i="12" s="1"/>
  <c r="M28" i="12"/>
  <c r="C27" i="12"/>
  <c r="B28" i="12"/>
  <c r="C23" i="10"/>
  <c r="D23" i="10"/>
  <c r="M24" i="10"/>
  <c r="G11" i="10"/>
  <c r="P21" i="10"/>
  <c r="P20" i="10"/>
  <c r="P22" i="10"/>
  <c r="P23" i="10"/>
  <c r="P19" i="10"/>
  <c r="Q19" i="10" s="1"/>
  <c r="I7" i="10"/>
  <c r="G7" i="10"/>
  <c r="B24" i="10"/>
  <c r="P28" i="12" l="1"/>
  <c r="D28" i="12"/>
  <c r="E28" i="12" s="1"/>
  <c r="B29" i="12"/>
  <c r="M29" i="12"/>
  <c r="C28" i="12"/>
  <c r="C24" i="10"/>
  <c r="D24" i="10"/>
  <c r="M25" i="10"/>
  <c r="P24" i="10"/>
  <c r="O19" i="10"/>
  <c r="S19" i="10" s="1"/>
  <c r="O20" i="10" s="1"/>
  <c r="S20" i="10" s="1"/>
  <c r="E15" i="10"/>
  <c r="B25" i="10"/>
  <c r="P29" i="12" l="1"/>
  <c r="D29" i="12"/>
  <c r="E29" i="12" s="1"/>
  <c r="M30" i="12"/>
  <c r="B30" i="12"/>
  <c r="C29" i="12"/>
  <c r="C25" i="10"/>
  <c r="H25" i="10"/>
  <c r="G25" i="10"/>
  <c r="F25" i="10"/>
  <c r="I25" i="10"/>
  <c r="D25" i="10"/>
  <c r="M26" i="10"/>
  <c r="P25" i="10"/>
  <c r="T19" i="10"/>
  <c r="Q20" i="10" s="1"/>
  <c r="R20" i="10" s="1"/>
  <c r="R19" i="10"/>
  <c r="F19" i="10" s="1"/>
  <c r="G19" i="10" s="1"/>
  <c r="H19" i="10" s="1"/>
  <c r="I19" i="10" s="1"/>
  <c r="B26" i="10"/>
  <c r="E22" i="10"/>
  <c r="O21" i="10"/>
  <c r="P30" i="12" l="1"/>
  <c r="D30" i="12"/>
  <c r="E30" i="12" s="1"/>
  <c r="M31" i="12"/>
  <c r="C30" i="12"/>
  <c r="B31" i="12"/>
  <c r="G22" i="10"/>
  <c r="C26" i="10"/>
  <c r="G26" i="10"/>
  <c r="H26" i="10"/>
  <c r="I26" i="10"/>
  <c r="F26" i="10"/>
  <c r="F20" i="10"/>
  <c r="G20" i="10" s="1"/>
  <c r="H20" i="10" s="1"/>
  <c r="I20" i="10" s="1"/>
  <c r="D26" i="10"/>
  <c r="M27" i="10"/>
  <c r="H22" i="10"/>
  <c r="I22" i="10" s="1"/>
  <c r="P26" i="10"/>
  <c r="B27" i="10"/>
  <c r="E24" i="10"/>
  <c r="E23" i="10"/>
  <c r="S21" i="10"/>
  <c r="T20" i="10"/>
  <c r="Q21" i="10" s="1"/>
  <c r="R21" i="10" s="1"/>
  <c r="P31" i="12" l="1"/>
  <c r="D31" i="12"/>
  <c r="E31" i="12" s="1"/>
  <c r="M32" i="12"/>
  <c r="C31" i="12"/>
  <c r="B32" i="12"/>
  <c r="G23" i="10"/>
  <c r="H23" i="10" s="1"/>
  <c r="F21" i="10"/>
  <c r="G21" i="10" s="1"/>
  <c r="H21" i="10" s="1"/>
  <c r="I21" i="10" s="1"/>
  <c r="G24" i="10"/>
  <c r="H24" i="10" s="1"/>
  <c r="I24" i="10" s="1"/>
  <c r="C27" i="10"/>
  <c r="F27" i="10"/>
  <c r="G27" i="10"/>
  <c r="I27" i="10"/>
  <c r="H27" i="10"/>
  <c r="M28" i="10"/>
  <c r="D27" i="10"/>
  <c r="I23" i="10"/>
  <c r="P27" i="10"/>
  <c r="B28" i="10"/>
  <c r="E25" i="10"/>
  <c r="O22" i="10"/>
  <c r="T21" i="10"/>
  <c r="Q22" i="10" s="1"/>
  <c r="P32" i="12" l="1"/>
  <c r="D32" i="12"/>
  <c r="E32" i="12" s="1"/>
  <c r="B33" i="12"/>
  <c r="C32" i="12"/>
  <c r="M33" i="12"/>
  <c r="C28" i="10"/>
  <c r="G28" i="10"/>
  <c r="H28" i="10"/>
  <c r="I28" i="10"/>
  <c r="F28" i="10"/>
  <c r="M29" i="10"/>
  <c r="D28" i="10"/>
  <c r="P28" i="10"/>
  <c r="B29" i="10"/>
  <c r="E26" i="10"/>
  <c r="R22" i="10"/>
  <c r="F22" i="10" s="1"/>
  <c r="S22" i="10"/>
  <c r="P33" i="12" l="1"/>
  <c r="D33" i="12"/>
  <c r="E33" i="12" s="1"/>
  <c r="M34" i="12"/>
  <c r="B34" i="12"/>
  <c r="C33" i="12"/>
  <c r="C29" i="10"/>
  <c r="H29" i="10"/>
  <c r="F29" i="10"/>
  <c r="G29" i="10"/>
  <c r="I29" i="10"/>
  <c r="D29" i="10"/>
  <c r="M30" i="10"/>
  <c r="P29" i="10"/>
  <c r="B30" i="10"/>
  <c r="T22" i="10"/>
  <c r="Q23" i="10" s="1"/>
  <c r="O23" i="10"/>
  <c r="E27" i="10"/>
  <c r="P34" i="12" l="1"/>
  <c r="D34" i="12"/>
  <c r="E34" i="12" s="1"/>
  <c r="M35" i="12"/>
  <c r="B35" i="12"/>
  <c r="C34" i="12"/>
  <c r="C30" i="10"/>
  <c r="G30" i="10"/>
  <c r="I30" i="10"/>
  <c r="F30" i="10"/>
  <c r="H30" i="10"/>
  <c r="M31" i="10"/>
  <c r="D30" i="10"/>
  <c r="P30" i="10"/>
  <c r="B31" i="10"/>
  <c r="E28" i="10"/>
  <c r="R23" i="10"/>
  <c r="F23" i="10" s="1"/>
  <c r="S23" i="10"/>
  <c r="P35" i="12" l="1"/>
  <c r="D35" i="12"/>
  <c r="E35" i="12" s="1"/>
  <c r="B36" i="12"/>
  <c r="M36" i="12"/>
  <c r="C35" i="12"/>
  <c r="C31" i="10"/>
  <c r="I31" i="10"/>
  <c r="F31" i="10"/>
  <c r="G31" i="10"/>
  <c r="H31" i="10"/>
  <c r="M32" i="10"/>
  <c r="D31" i="10"/>
  <c r="P31" i="10"/>
  <c r="B32" i="10"/>
  <c r="T23" i="10"/>
  <c r="Q24" i="10" s="1"/>
  <c r="O24" i="10"/>
  <c r="E29" i="10"/>
  <c r="P36" i="12" l="1"/>
  <c r="D36" i="12"/>
  <c r="E36" i="12" s="1"/>
  <c r="B37" i="12"/>
  <c r="M37" i="12"/>
  <c r="C36" i="12"/>
  <c r="C32" i="10"/>
  <c r="G32" i="10"/>
  <c r="H32" i="10"/>
  <c r="I32" i="10"/>
  <c r="F32" i="10"/>
  <c r="D32" i="10"/>
  <c r="M33" i="10"/>
  <c r="P32" i="10"/>
  <c r="B33" i="10"/>
  <c r="E30" i="10"/>
  <c r="R24" i="10"/>
  <c r="F24" i="10" s="1"/>
  <c r="S24" i="10"/>
  <c r="P37" i="12" l="1"/>
  <c r="D37" i="12"/>
  <c r="E37" i="12" s="1"/>
  <c r="M38" i="12"/>
  <c r="B38" i="12"/>
  <c r="C37" i="12"/>
  <c r="C33" i="10"/>
  <c r="F33" i="10"/>
  <c r="G33" i="10"/>
  <c r="H33" i="10"/>
  <c r="I33" i="10"/>
  <c r="D33" i="10"/>
  <c r="M34" i="10"/>
  <c r="P33" i="10"/>
  <c r="B34" i="10"/>
  <c r="E31" i="10"/>
  <c r="O25" i="10"/>
  <c r="T24" i="10"/>
  <c r="Q25" i="10" s="1"/>
  <c r="P38" i="12" l="1"/>
  <c r="D38" i="12"/>
  <c r="E38" i="12" s="1"/>
  <c r="M39" i="12"/>
  <c r="C38" i="12"/>
  <c r="B39" i="12"/>
  <c r="C34" i="10"/>
  <c r="F34" i="10"/>
  <c r="H34" i="10"/>
  <c r="G34" i="10"/>
  <c r="I34" i="10"/>
  <c r="D34" i="10"/>
  <c r="M35" i="10"/>
  <c r="P34" i="10"/>
  <c r="B35" i="10"/>
  <c r="E32" i="10"/>
  <c r="R25" i="10"/>
  <c r="S25" i="10"/>
  <c r="P39" i="12" l="1"/>
  <c r="D39" i="12"/>
  <c r="E39" i="12" s="1"/>
  <c r="M40" i="12"/>
  <c r="C39" i="12"/>
  <c r="B40" i="12"/>
  <c r="C35" i="10"/>
  <c r="F35" i="10"/>
  <c r="H35" i="10"/>
  <c r="G35" i="10"/>
  <c r="I35" i="10"/>
  <c r="M36" i="10"/>
  <c r="D35" i="10"/>
  <c r="P35" i="10"/>
  <c r="B36" i="10"/>
  <c r="E33" i="10"/>
  <c r="T25" i="10"/>
  <c r="Q26" i="10" s="1"/>
  <c r="O26" i="10"/>
  <c r="P40" i="12" l="1"/>
  <c r="D40" i="12"/>
  <c r="E40" i="12" s="1"/>
  <c r="B41" i="12"/>
  <c r="M41" i="12"/>
  <c r="C40" i="12"/>
  <c r="C36" i="10"/>
  <c r="G36" i="10"/>
  <c r="H36" i="10"/>
  <c r="I36" i="10"/>
  <c r="F36" i="10"/>
  <c r="D36" i="10"/>
  <c r="M37" i="10"/>
  <c r="P36" i="10"/>
  <c r="B37" i="10"/>
  <c r="E34" i="10"/>
  <c r="R26" i="10"/>
  <c r="S26" i="10"/>
  <c r="P41" i="12" l="1"/>
  <c r="D41" i="12"/>
  <c r="E41" i="12" s="1"/>
  <c r="M42" i="12"/>
  <c r="B42" i="12"/>
  <c r="C41" i="12"/>
  <c r="C37" i="10"/>
  <c r="F37" i="10"/>
  <c r="H37" i="10"/>
  <c r="G37" i="10"/>
  <c r="I37" i="10"/>
  <c r="M38" i="10"/>
  <c r="D37" i="10"/>
  <c r="P37" i="10"/>
  <c r="B38" i="10"/>
  <c r="E35" i="10"/>
  <c r="T26" i="10"/>
  <c r="Q27" i="10" s="1"/>
  <c r="O27" i="10"/>
  <c r="P42" i="12" l="1"/>
  <c r="D42" i="12"/>
  <c r="E42" i="12" s="1"/>
  <c r="M43" i="12"/>
  <c r="B43" i="12"/>
  <c r="C42" i="12"/>
  <c r="C38" i="10"/>
  <c r="H38" i="10"/>
  <c r="I38" i="10"/>
  <c r="F38" i="10"/>
  <c r="G38" i="10"/>
  <c r="D38" i="10"/>
  <c r="M39" i="10"/>
  <c r="P38" i="10"/>
  <c r="B39" i="10"/>
  <c r="E36" i="10"/>
  <c r="R27" i="10"/>
  <c r="S27" i="10"/>
  <c r="P43" i="12" l="1"/>
  <c r="D43" i="12"/>
  <c r="E43" i="12" s="1"/>
  <c r="M44" i="12"/>
  <c r="C43" i="12"/>
  <c r="B44" i="12"/>
  <c r="C39" i="10"/>
  <c r="G39" i="10"/>
  <c r="H39" i="10"/>
  <c r="I39" i="10"/>
  <c r="F39" i="10"/>
  <c r="M40" i="10"/>
  <c r="D39" i="10"/>
  <c r="P39" i="10"/>
  <c r="B40" i="10"/>
  <c r="E37" i="10"/>
  <c r="O28" i="10"/>
  <c r="T27" i="10"/>
  <c r="Q28" i="10" s="1"/>
  <c r="P44" i="12" l="1"/>
  <c r="D44" i="12"/>
  <c r="E44" i="12" s="1"/>
  <c r="B45" i="12"/>
  <c r="M45" i="12"/>
  <c r="C44" i="12"/>
  <c r="C40" i="10"/>
  <c r="G40" i="10"/>
  <c r="F40" i="10"/>
  <c r="H40" i="10"/>
  <c r="I40" i="10"/>
  <c r="M41" i="10"/>
  <c r="D40" i="10"/>
  <c r="P40" i="10"/>
  <c r="B41" i="10"/>
  <c r="R28" i="10"/>
  <c r="S28" i="10"/>
  <c r="E38" i="10"/>
  <c r="P45" i="12" l="1"/>
  <c r="D45" i="12"/>
  <c r="E45" i="12" s="1"/>
  <c r="M46" i="12"/>
  <c r="B46" i="12"/>
  <c r="C45" i="12"/>
  <c r="C41" i="10"/>
  <c r="H41" i="10"/>
  <c r="I41" i="10"/>
  <c r="G41" i="10"/>
  <c r="F41" i="10"/>
  <c r="M42" i="10"/>
  <c r="D41" i="10"/>
  <c r="P41" i="10"/>
  <c r="B42" i="10"/>
  <c r="E39" i="10"/>
  <c r="T28" i="10"/>
  <c r="Q29" i="10" s="1"/>
  <c r="O29" i="10"/>
  <c r="P46" i="12" l="1"/>
  <c r="D46" i="12"/>
  <c r="E46" i="12" s="1"/>
  <c r="M47" i="12"/>
  <c r="C46" i="12"/>
  <c r="B47" i="12"/>
  <c r="C42" i="10"/>
  <c r="H42" i="10"/>
  <c r="I42" i="10"/>
  <c r="F42" i="10"/>
  <c r="G42" i="10"/>
  <c r="M43" i="10"/>
  <c r="D42" i="10"/>
  <c r="P42" i="10"/>
  <c r="B43" i="10"/>
  <c r="E40" i="10"/>
  <c r="R29" i="10"/>
  <c r="S29" i="10"/>
  <c r="P47" i="12" l="1"/>
  <c r="D47" i="12"/>
  <c r="E47" i="12" s="1"/>
  <c r="M48" i="12"/>
  <c r="C47" i="12"/>
  <c r="B48" i="12"/>
  <c r="C43" i="10"/>
  <c r="H43" i="10"/>
  <c r="G43" i="10"/>
  <c r="I43" i="10"/>
  <c r="F43" i="10"/>
  <c r="M44" i="10"/>
  <c r="D43" i="10"/>
  <c r="P43" i="10"/>
  <c r="B44" i="10"/>
  <c r="E41" i="10"/>
  <c r="T29" i="10"/>
  <c r="Q30" i="10" s="1"/>
  <c r="O30" i="10"/>
  <c r="P48" i="12" l="1"/>
  <c r="D48" i="12"/>
  <c r="E48" i="12" s="1"/>
  <c r="B49" i="12"/>
  <c r="M49" i="12"/>
  <c r="C48" i="12"/>
  <c r="C44" i="10"/>
  <c r="G44" i="10"/>
  <c r="H44" i="10"/>
  <c r="I44" i="10"/>
  <c r="F44" i="10"/>
  <c r="D44" i="10"/>
  <c r="M45" i="10"/>
  <c r="P44" i="10"/>
  <c r="B45" i="10"/>
  <c r="E42" i="10"/>
  <c r="R30" i="10"/>
  <c r="S30" i="10"/>
  <c r="P49" i="12" l="1"/>
  <c r="D49" i="12"/>
  <c r="E49" i="12" s="1"/>
  <c r="M50" i="12"/>
  <c r="B50" i="12"/>
  <c r="C49" i="12"/>
  <c r="C45" i="10"/>
  <c r="F45" i="10"/>
  <c r="G45" i="10"/>
  <c r="H45" i="10"/>
  <c r="I45" i="10"/>
  <c r="D45" i="10"/>
  <c r="M46" i="10"/>
  <c r="P45" i="10"/>
  <c r="B46" i="10"/>
  <c r="E43" i="10"/>
  <c r="O31" i="10"/>
  <c r="T30" i="10"/>
  <c r="Q31" i="10" s="1"/>
  <c r="P50" i="12" l="1"/>
  <c r="D50" i="12"/>
  <c r="E50" i="12" s="1"/>
  <c r="M51" i="12"/>
  <c r="C50" i="12"/>
  <c r="B51" i="12"/>
  <c r="C46" i="10"/>
  <c r="I46" i="10"/>
  <c r="F46" i="10"/>
  <c r="G46" i="10"/>
  <c r="H46" i="10"/>
  <c r="M47" i="10"/>
  <c r="D46" i="10"/>
  <c r="P46" i="10"/>
  <c r="B47" i="10"/>
  <c r="E44" i="10"/>
  <c r="R31" i="10"/>
  <c r="S31" i="10"/>
  <c r="P51" i="12" l="1"/>
  <c r="D51" i="12"/>
  <c r="E51" i="12" s="1"/>
  <c r="C51" i="12"/>
  <c r="M52" i="12"/>
  <c r="B52" i="12"/>
  <c r="C47" i="10"/>
  <c r="I47" i="10"/>
  <c r="F47" i="10"/>
  <c r="G47" i="10"/>
  <c r="H47" i="10"/>
  <c r="D47" i="10"/>
  <c r="M48" i="10"/>
  <c r="P47" i="10"/>
  <c r="B48" i="10"/>
  <c r="E45" i="10"/>
  <c r="T31" i="10"/>
  <c r="Q32" i="10" s="1"/>
  <c r="O32" i="10"/>
  <c r="P52" i="12" l="1"/>
  <c r="D52" i="12"/>
  <c r="E52" i="12" s="1"/>
  <c r="C52" i="12"/>
  <c r="B53" i="12"/>
  <c r="M53" i="12"/>
  <c r="C48" i="10"/>
  <c r="G48" i="10"/>
  <c r="H48" i="10"/>
  <c r="I48" i="10"/>
  <c r="F48" i="10"/>
  <c r="M49" i="10"/>
  <c r="D48" i="10"/>
  <c r="P48" i="10"/>
  <c r="B49" i="10"/>
  <c r="E46" i="10"/>
  <c r="R32" i="10"/>
  <c r="S32" i="10"/>
  <c r="P53" i="12" l="1"/>
  <c r="D53" i="12"/>
  <c r="E53" i="12" s="1"/>
  <c r="M54" i="12"/>
  <c r="B54" i="12"/>
  <c r="C53" i="12"/>
  <c r="C49" i="10"/>
  <c r="I49" i="10"/>
  <c r="H49" i="10"/>
  <c r="G49" i="10"/>
  <c r="F49" i="10"/>
  <c r="M50" i="10"/>
  <c r="D49" i="10"/>
  <c r="P49" i="10"/>
  <c r="B50" i="10"/>
  <c r="T32" i="10"/>
  <c r="Q33" i="10" s="1"/>
  <c r="O33" i="10"/>
  <c r="E47" i="10"/>
  <c r="P54" i="12" l="1"/>
  <c r="D54" i="12"/>
  <c r="E54" i="12" s="1"/>
  <c r="C54" i="12"/>
  <c r="M55" i="12"/>
  <c r="B55" i="12"/>
  <c r="C50" i="10"/>
  <c r="G50" i="10"/>
  <c r="H50" i="10"/>
  <c r="F50" i="10"/>
  <c r="I50" i="10"/>
  <c r="M51" i="10"/>
  <c r="D50" i="10"/>
  <c r="P50" i="10"/>
  <c r="B51" i="10"/>
  <c r="E48" i="10"/>
  <c r="R33" i="10"/>
  <c r="S33" i="10"/>
  <c r="P55" i="12" l="1"/>
  <c r="D55" i="12"/>
  <c r="E55" i="12" s="1"/>
  <c r="C55" i="12"/>
  <c r="M56" i="12"/>
  <c r="B56" i="12"/>
  <c r="C51" i="10"/>
  <c r="G51" i="10"/>
  <c r="F51" i="10"/>
  <c r="I51" i="10"/>
  <c r="H51" i="10"/>
  <c r="M52" i="10"/>
  <c r="D51" i="10"/>
  <c r="P51" i="10"/>
  <c r="B52" i="10"/>
  <c r="E49" i="10"/>
  <c r="O34" i="10"/>
  <c r="T33" i="10"/>
  <c r="Q34" i="10" s="1"/>
  <c r="P56" i="12" l="1"/>
  <c r="D56" i="12"/>
  <c r="E56" i="12" s="1"/>
  <c r="C56" i="12"/>
  <c r="B57" i="12"/>
  <c r="M57" i="12"/>
  <c r="C52" i="10"/>
  <c r="G52" i="10"/>
  <c r="H52" i="10"/>
  <c r="I52" i="10"/>
  <c r="F52" i="10"/>
  <c r="M53" i="10"/>
  <c r="D52" i="10"/>
  <c r="P52" i="10"/>
  <c r="B53" i="10"/>
  <c r="R34" i="10"/>
  <c r="S34" i="10"/>
  <c r="E50" i="10"/>
  <c r="P57" i="12" l="1"/>
  <c r="D57" i="12"/>
  <c r="E57" i="12" s="1"/>
  <c r="M58" i="12"/>
  <c r="B58" i="12"/>
  <c r="C57" i="12"/>
  <c r="C53" i="10"/>
  <c r="H53" i="10"/>
  <c r="F53" i="10"/>
  <c r="G53" i="10"/>
  <c r="I53" i="10"/>
  <c r="D53" i="10"/>
  <c r="M54" i="10"/>
  <c r="P53" i="10"/>
  <c r="B54" i="10"/>
  <c r="E51" i="10"/>
  <c r="T34" i="10"/>
  <c r="Q35" i="10" s="1"/>
  <c r="O35" i="10"/>
  <c r="P58" i="12" l="1"/>
  <c r="B59" i="12"/>
  <c r="M59" i="12"/>
  <c r="D58" i="12"/>
  <c r="E58" i="12" s="1"/>
  <c r="C58" i="12"/>
  <c r="C54" i="10"/>
  <c r="H54" i="10"/>
  <c r="F54" i="10"/>
  <c r="G54" i="10"/>
  <c r="I54" i="10"/>
  <c r="D54" i="10"/>
  <c r="M55" i="10"/>
  <c r="P54" i="10"/>
  <c r="B55" i="10"/>
  <c r="E52" i="10"/>
  <c r="R35" i="10"/>
  <c r="S35" i="10"/>
  <c r="P59" i="12" l="1"/>
  <c r="C59" i="12"/>
  <c r="D59" i="12"/>
  <c r="E59" i="12" s="1"/>
  <c r="B60" i="12"/>
  <c r="M60" i="12"/>
  <c r="C55" i="10"/>
  <c r="F55" i="10"/>
  <c r="H55" i="10"/>
  <c r="I55" i="10"/>
  <c r="G55" i="10"/>
  <c r="M56" i="10"/>
  <c r="D55" i="10"/>
  <c r="P55" i="10"/>
  <c r="B56" i="10"/>
  <c r="E53" i="10"/>
  <c r="T35" i="10"/>
  <c r="Q36" i="10" s="1"/>
  <c r="O36" i="10"/>
  <c r="P60" i="12" l="1"/>
  <c r="C60" i="12"/>
  <c r="B61" i="12"/>
  <c r="D60" i="12"/>
  <c r="E60" i="12" s="1"/>
  <c r="M61" i="12"/>
  <c r="C56" i="10"/>
  <c r="G56" i="10"/>
  <c r="H56" i="10"/>
  <c r="F56" i="10"/>
  <c r="I56" i="10"/>
  <c r="D56" i="10"/>
  <c r="M57" i="10"/>
  <c r="P56" i="10"/>
  <c r="B57" i="10"/>
  <c r="R36" i="10"/>
  <c r="S36" i="10"/>
  <c r="P61" i="12" l="1"/>
  <c r="C61" i="12"/>
  <c r="B62" i="12"/>
  <c r="D61" i="12"/>
  <c r="E61" i="12" s="1"/>
  <c r="M62" i="12"/>
  <c r="C57" i="10"/>
  <c r="F57" i="10"/>
  <c r="I57" i="10"/>
  <c r="G57" i="10"/>
  <c r="H57" i="10"/>
  <c r="D57" i="10"/>
  <c r="M58" i="10"/>
  <c r="P57" i="10"/>
  <c r="B58" i="10"/>
  <c r="E54" i="10"/>
  <c r="E55" i="10"/>
  <c r="O37" i="10"/>
  <c r="T36" i="10"/>
  <c r="Q37" i="10" s="1"/>
  <c r="P62" i="12" l="1"/>
  <c r="C62" i="12"/>
  <c r="B63" i="12"/>
  <c r="D62" i="12"/>
  <c r="E62" i="12" s="1"/>
  <c r="M63" i="12"/>
  <c r="C58" i="10"/>
  <c r="F58" i="10"/>
  <c r="G58" i="10"/>
  <c r="H58" i="10"/>
  <c r="I58" i="10"/>
  <c r="D58" i="10"/>
  <c r="P58" i="10"/>
  <c r="R37" i="10"/>
  <c r="S37" i="10"/>
  <c r="E56" i="10"/>
  <c r="P63" i="12" l="1"/>
  <c r="C63" i="12"/>
  <c r="D63" i="12"/>
  <c r="E63" i="12" s="1"/>
  <c r="B64" i="12"/>
  <c r="M64" i="12"/>
  <c r="T37" i="10"/>
  <c r="Q38" i="10" s="1"/>
  <c r="O38" i="10"/>
  <c r="C60" i="10"/>
  <c r="E57" i="10"/>
  <c r="P64" i="12" l="1"/>
  <c r="C64" i="12"/>
  <c r="B65" i="12"/>
  <c r="D64" i="12"/>
  <c r="E64" i="12" s="1"/>
  <c r="M65" i="12"/>
  <c r="D60" i="10"/>
  <c r="G10" i="10" s="1"/>
  <c r="R38" i="10"/>
  <c r="S38" i="10"/>
  <c r="E58" i="10"/>
  <c r="P65" i="12" l="1"/>
  <c r="D65" i="12"/>
  <c r="E65" i="12" s="1"/>
  <c r="C65" i="12"/>
  <c r="B66" i="12"/>
  <c r="M66" i="12"/>
  <c r="G13" i="10"/>
  <c r="G60" i="10"/>
  <c r="H60" i="10"/>
  <c r="E60" i="10"/>
  <c r="T38" i="10"/>
  <c r="Q39" i="10" s="1"/>
  <c r="O39" i="10"/>
  <c r="P66" i="12" l="1"/>
  <c r="M67" i="12"/>
  <c r="B67" i="12"/>
  <c r="D66" i="12"/>
  <c r="E66" i="12" s="1"/>
  <c r="C66" i="12"/>
  <c r="I60" i="10"/>
  <c r="R39" i="10"/>
  <c r="S39" i="10"/>
  <c r="P67" i="12" l="1"/>
  <c r="C67" i="12"/>
  <c r="B68" i="12"/>
  <c r="D67" i="12"/>
  <c r="E67" i="12" s="1"/>
  <c r="M68" i="12"/>
  <c r="G12" i="10"/>
  <c r="G14" i="10" s="1"/>
  <c r="G15" i="10" s="1"/>
  <c r="O40" i="10"/>
  <c r="T39" i="10"/>
  <c r="Q40" i="10" s="1"/>
  <c r="P68" i="12" l="1"/>
  <c r="C68" i="12"/>
  <c r="B69" i="12"/>
  <c r="D68" i="12"/>
  <c r="E68" i="12" s="1"/>
  <c r="M69" i="12"/>
  <c r="R40" i="10"/>
  <c r="S40" i="10"/>
  <c r="P69" i="12" l="1"/>
  <c r="D69" i="12"/>
  <c r="E69" i="12" s="1"/>
  <c r="C69" i="12"/>
  <c r="B70" i="12"/>
  <c r="M70" i="12"/>
  <c r="T40" i="10"/>
  <c r="Q41" i="10" s="1"/>
  <c r="O41" i="10"/>
  <c r="P70" i="12" l="1"/>
  <c r="M71" i="12"/>
  <c r="D70" i="12"/>
  <c r="E70" i="12" s="1"/>
  <c r="C70" i="12"/>
  <c r="B71" i="12"/>
  <c r="R41" i="10"/>
  <c r="S41" i="10"/>
  <c r="P71" i="12" l="1"/>
  <c r="M72" i="12"/>
  <c r="B72" i="12"/>
  <c r="D71" i="12"/>
  <c r="E71" i="12" s="1"/>
  <c r="C71" i="12"/>
  <c r="T41" i="10"/>
  <c r="Q42" i="10" s="1"/>
  <c r="O42" i="10"/>
  <c r="P72" i="12" l="1"/>
  <c r="C72" i="12"/>
  <c r="B73" i="12"/>
  <c r="D72" i="12"/>
  <c r="E72" i="12" s="1"/>
  <c r="M73" i="12"/>
  <c r="R42" i="10"/>
  <c r="S42" i="10"/>
  <c r="P73" i="12" l="1"/>
  <c r="B74" i="12"/>
  <c r="D73" i="12"/>
  <c r="E73" i="12" s="1"/>
  <c r="C73" i="12"/>
  <c r="M74" i="12"/>
  <c r="O43" i="10"/>
  <c r="T42" i="10"/>
  <c r="Q43" i="10" s="1"/>
  <c r="C74" i="12" l="1"/>
  <c r="P74" i="12"/>
  <c r="M75" i="12"/>
  <c r="B75" i="12"/>
  <c r="D74" i="12"/>
  <c r="E74" i="12" s="1"/>
  <c r="R43" i="10"/>
  <c r="S43" i="10"/>
  <c r="B76" i="12" l="1"/>
  <c r="B77" i="12" s="1"/>
  <c r="P75" i="12"/>
  <c r="D75" i="12"/>
  <c r="E75" i="12" s="1"/>
  <c r="C75" i="12"/>
  <c r="M76" i="12"/>
  <c r="T43" i="10"/>
  <c r="Q44" i="10" s="1"/>
  <c r="O44" i="10"/>
  <c r="D76" i="12" l="1"/>
  <c r="E76" i="12" s="1"/>
  <c r="C76" i="12"/>
  <c r="P76" i="12"/>
  <c r="M77" i="12"/>
  <c r="P77" i="12" s="1"/>
  <c r="C77" i="12"/>
  <c r="D77" i="12"/>
  <c r="E77" i="12" s="1"/>
  <c r="B78" i="12"/>
  <c r="R44" i="10"/>
  <c r="S44" i="10"/>
  <c r="M78" i="12" l="1"/>
  <c r="P78" i="12" s="1"/>
  <c r="C78" i="12"/>
  <c r="D78" i="12"/>
  <c r="E78" i="12" s="1"/>
  <c r="B79" i="12"/>
  <c r="T44" i="10"/>
  <c r="Q45" i="10" s="1"/>
  <c r="O45" i="10"/>
  <c r="M79" i="12" l="1"/>
  <c r="M80" i="12" s="1"/>
  <c r="B80" i="12"/>
  <c r="C79" i="12"/>
  <c r="D79" i="12"/>
  <c r="E79" i="12" s="1"/>
  <c r="R45" i="10"/>
  <c r="S45" i="10"/>
  <c r="P80" i="12" l="1"/>
  <c r="P79" i="12"/>
  <c r="M81" i="12"/>
  <c r="C80" i="12"/>
  <c r="D80" i="12"/>
  <c r="E80" i="12" s="1"/>
  <c r="B81" i="12"/>
  <c r="O46" i="10"/>
  <c r="T45" i="10"/>
  <c r="Q46" i="10" s="1"/>
  <c r="P81" i="12" l="1"/>
  <c r="M82" i="12"/>
  <c r="C81" i="12"/>
  <c r="B82" i="12"/>
  <c r="D81" i="12"/>
  <c r="E81" i="12" s="1"/>
  <c r="R46" i="10"/>
  <c r="S46" i="10"/>
  <c r="P82" i="12" l="1"/>
  <c r="M83" i="12"/>
  <c r="B83" i="12"/>
  <c r="C82" i="12"/>
  <c r="D82" i="12"/>
  <c r="E82" i="12" s="1"/>
  <c r="T46" i="10"/>
  <c r="Q47" i="10" s="1"/>
  <c r="O47" i="10"/>
  <c r="P83" i="12" l="1"/>
  <c r="M84" i="12"/>
  <c r="C83" i="12"/>
  <c r="D83" i="12"/>
  <c r="E83" i="12" s="1"/>
  <c r="B84" i="12"/>
  <c r="R47" i="10"/>
  <c r="S47" i="10"/>
  <c r="P84" i="12" l="1"/>
  <c r="M85" i="12"/>
  <c r="C84" i="12"/>
  <c r="D84" i="12"/>
  <c r="E84" i="12" s="1"/>
  <c r="B85" i="12"/>
  <c r="T47" i="10"/>
  <c r="Q48" i="10" s="1"/>
  <c r="O48" i="10"/>
  <c r="P85" i="12" l="1"/>
  <c r="M86" i="12"/>
  <c r="B86" i="12"/>
  <c r="C85" i="12"/>
  <c r="D85" i="12"/>
  <c r="E85" i="12" s="1"/>
  <c r="R48" i="10"/>
  <c r="S48" i="10"/>
  <c r="P86" i="12" l="1"/>
  <c r="M87" i="12"/>
  <c r="C86" i="12"/>
  <c r="D86" i="12"/>
  <c r="E86" i="12" s="1"/>
  <c r="B87" i="12"/>
  <c r="O49" i="10"/>
  <c r="T48" i="10"/>
  <c r="Q49" i="10" s="1"/>
  <c r="P87" i="12" l="1"/>
  <c r="M88" i="12"/>
  <c r="C87" i="12"/>
  <c r="D87" i="12"/>
  <c r="E87" i="12" s="1"/>
  <c r="B88" i="12"/>
  <c r="R49" i="10"/>
  <c r="S49" i="10"/>
  <c r="P88" i="12" l="1"/>
  <c r="M89" i="12"/>
  <c r="B89" i="12"/>
  <c r="C88" i="12"/>
  <c r="D88" i="12"/>
  <c r="E88" i="12" s="1"/>
  <c r="T49" i="10"/>
  <c r="Q50" i="10" s="1"/>
  <c r="O50" i="10"/>
  <c r="P89" i="12" l="1"/>
  <c r="M90" i="12"/>
  <c r="C89" i="12"/>
  <c r="D89" i="12"/>
  <c r="E89" i="12" s="1"/>
  <c r="B90" i="12"/>
  <c r="R50" i="10"/>
  <c r="S50" i="10"/>
  <c r="P90" i="12" l="1"/>
  <c r="M91" i="12"/>
  <c r="C90" i="12"/>
  <c r="D90" i="12"/>
  <c r="E90" i="12" s="1"/>
  <c r="B91" i="12"/>
  <c r="T50" i="10"/>
  <c r="Q51" i="10" s="1"/>
  <c r="O51" i="10"/>
  <c r="P91" i="12" l="1"/>
  <c r="M92" i="12"/>
  <c r="B92" i="12"/>
  <c r="C91" i="12"/>
  <c r="D91" i="12"/>
  <c r="E91" i="12" s="1"/>
  <c r="R51" i="10"/>
  <c r="S51" i="10"/>
  <c r="P92" i="12" l="1"/>
  <c r="M93" i="12"/>
  <c r="C92" i="12"/>
  <c r="D92" i="12"/>
  <c r="E92" i="12" s="1"/>
  <c r="B93" i="12"/>
  <c r="O52" i="10"/>
  <c r="T51" i="10"/>
  <c r="Q52" i="10" s="1"/>
  <c r="P93" i="12" l="1"/>
  <c r="M94" i="12"/>
  <c r="C93" i="12"/>
  <c r="B94" i="12"/>
  <c r="D93" i="12"/>
  <c r="E93" i="12" s="1"/>
  <c r="R52" i="10"/>
  <c r="S52" i="10"/>
  <c r="P94" i="12" l="1"/>
  <c r="M95" i="12"/>
  <c r="B95" i="12"/>
  <c r="C94" i="12"/>
  <c r="D94" i="12"/>
  <c r="E94" i="12" s="1"/>
  <c r="O53" i="10"/>
  <c r="T52" i="10"/>
  <c r="Q53" i="10" s="1"/>
  <c r="P95" i="12" l="1"/>
  <c r="M96" i="12"/>
  <c r="C95" i="12"/>
  <c r="D95" i="12"/>
  <c r="E95" i="12" s="1"/>
  <c r="B96" i="12"/>
  <c r="R53" i="10"/>
  <c r="S53" i="10"/>
  <c r="P96" i="12" l="1"/>
  <c r="M97" i="12"/>
  <c r="C96" i="12"/>
  <c r="D96" i="12"/>
  <c r="E96" i="12" s="1"/>
  <c r="B97" i="12"/>
  <c r="T53" i="10"/>
  <c r="Q54" i="10" s="1"/>
  <c r="O54" i="10"/>
  <c r="P97" i="12" l="1"/>
  <c r="M98" i="12"/>
  <c r="B98" i="12"/>
  <c r="C97" i="12"/>
  <c r="D97" i="12"/>
  <c r="E97" i="12" s="1"/>
  <c r="R54" i="10"/>
  <c r="S54" i="10"/>
  <c r="P98" i="12" l="1"/>
  <c r="M99" i="12"/>
  <c r="C98" i="12"/>
  <c r="D98" i="12"/>
  <c r="E98" i="12" s="1"/>
  <c r="B99" i="12"/>
  <c r="O55" i="10"/>
  <c r="T54" i="10"/>
  <c r="Q55" i="10" s="1"/>
  <c r="P99" i="12" l="1"/>
  <c r="M100" i="12"/>
  <c r="C99" i="12"/>
  <c r="B100" i="12"/>
  <c r="D99" i="12"/>
  <c r="E99" i="12" s="1"/>
  <c r="R55" i="10"/>
  <c r="S55" i="10"/>
  <c r="P100" i="12" l="1"/>
  <c r="M101" i="12"/>
  <c r="B101" i="12"/>
  <c r="C100" i="12"/>
  <c r="D100" i="12"/>
  <c r="E100" i="12" s="1"/>
  <c r="T55" i="10"/>
  <c r="Q56" i="10" s="1"/>
  <c r="O56" i="10"/>
  <c r="P101" i="12" l="1"/>
  <c r="M102" i="12"/>
  <c r="C101" i="12"/>
  <c r="D101" i="12"/>
  <c r="E101" i="12" s="1"/>
  <c r="B102" i="12"/>
  <c r="R56" i="10"/>
  <c r="S56" i="10"/>
  <c r="P102" i="12" l="1"/>
  <c r="M103" i="12"/>
  <c r="C102" i="12"/>
  <c r="D102" i="12"/>
  <c r="E102" i="12" s="1"/>
  <c r="B103" i="12"/>
  <c r="T56" i="10"/>
  <c r="Q57" i="10" s="1"/>
  <c r="O57" i="10"/>
  <c r="P103" i="12" l="1"/>
  <c r="M104" i="12"/>
  <c r="B104" i="12"/>
  <c r="C103" i="12"/>
  <c r="D103" i="12"/>
  <c r="E103" i="12" s="1"/>
  <c r="R57" i="10"/>
  <c r="S57" i="10"/>
  <c r="P104" i="12" l="1"/>
  <c r="M105" i="12"/>
  <c r="C104" i="12"/>
  <c r="D104" i="12"/>
  <c r="E104" i="12" s="1"/>
  <c r="B105" i="12"/>
  <c r="O58" i="10"/>
  <c r="T57" i="10"/>
  <c r="Q58" i="10" s="1"/>
  <c r="P105" i="12" l="1"/>
  <c r="M106" i="12"/>
  <c r="C105" i="12"/>
  <c r="D105" i="12"/>
  <c r="E105" i="12" s="1"/>
  <c r="B106" i="12"/>
  <c r="R58" i="10"/>
  <c r="S58" i="10"/>
  <c r="P106" i="12" l="1"/>
  <c r="M107" i="12"/>
  <c r="B107" i="12"/>
  <c r="C106" i="12"/>
  <c r="D106" i="12"/>
  <c r="E106" i="12" s="1"/>
  <c r="T58" i="10"/>
  <c r="P107" i="12" l="1"/>
  <c r="M108" i="12"/>
  <c r="C107" i="12"/>
  <c r="D107" i="12"/>
  <c r="E107" i="12" s="1"/>
  <c r="B108" i="12"/>
  <c r="C22" i="12"/>
  <c r="P108" i="12" l="1"/>
  <c r="M109" i="12"/>
  <c r="C108" i="12"/>
  <c r="D108" i="12"/>
  <c r="E108" i="12" s="1"/>
  <c r="B109" i="12"/>
  <c r="S19" i="12"/>
  <c r="F19" i="12"/>
  <c r="P109" i="12" l="1"/>
  <c r="M110" i="12"/>
  <c r="B110" i="12"/>
  <c r="D109" i="12"/>
  <c r="E109" i="12" s="1"/>
  <c r="C109" i="12"/>
  <c r="H19" i="12"/>
  <c r="G19" i="12"/>
  <c r="T19" i="12"/>
  <c r="Q20" i="12" s="1"/>
  <c r="O20" i="12"/>
  <c r="P110" i="12" l="1"/>
  <c r="M111" i="12"/>
  <c r="C110" i="12"/>
  <c r="D110" i="12"/>
  <c r="E110" i="12" s="1"/>
  <c r="B111" i="12"/>
  <c r="R20" i="12"/>
  <c r="F20" i="12" s="1"/>
  <c r="S20" i="12"/>
  <c r="I19" i="12"/>
  <c r="P111" i="12" l="1"/>
  <c r="M112" i="12"/>
  <c r="C111" i="12"/>
  <c r="D111" i="12"/>
  <c r="E111" i="12" s="1"/>
  <c r="B112" i="12"/>
  <c r="O21" i="12"/>
  <c r="T20" i="12"/>
  <c r="Q21" i="12" s="1"/>
  <c r="G20" i="12"/>
  <c r="H20" i="12"/>
  <c r="P112" i="12" l="1"/>
  <c r="M113" i="12"/>
  <c r="B113" i="12"/>
  <c r="D112" i="12"/>
  <c r="E112" i="12" s="1"/>
  <c r="C112" i="12"/>
  <c r="I20" i="12"/>
  <c r="R21" i="12"/>
  <c r="F21" i="12" s="1"/>
  <c r="S21" i="12"/>
  <c r="P113" i="12" l="1"/>
  <c r="G21" i="12"/>
  <c r="H21" i="12"/>
  <c r="M114" i="12"/>
  <c r="C113" i="12"/>
  <c r="D113" i="12"/>
  <c r="E113" i="12" s="1"/>
  <c r="B114" i="12"/>
  <c r="T21" i="12"/>
  <c r="Q22" i="12" s="1"/>
  <c r="O22" i="12"/>
  <c r="P114" i="12" l="1"/>
  <c r="M115" i="12"/>
  <c r="C114" i="12"/>
  <c r="D114" i="12"/>
  <c r="E114" i="12" s="1"/>
  <c r="B115" i="12"/>
  <c r="I21" i="12"/>
  <c r="R22" i="12"/>
  <c r="F22" i="12" s="1"/>
  <c r="S22" i="12"/>
  <c r="P115" i="12" l="1"/>
  <c r="G22" i="12"/>
  <c r="H22" i="12"/>
  <c r="M116" i="12"/>
  <c r="B116" i="12"/>
  <c r="D115" i="12"/>
  <c r="E115" i="12" s="1"/>
  <c r="C115" i="12"/>
  <c r="T22" i="12"/>
  <c r="Q23" i="12" s="1"/>
  <c r="O23" i="12"/>
  <c r="P116" i="12" l="1"/>
  <c r="M117" i="12"/>
  <c r="C116" i="12"/>
  <c r="D116" i="12"/>
  <c r="E116" i="12" s="1"/>
  <c r="B117" i="12"/>
  <c r="S23" i="12"/>
  <c r="R23" i="12"/>
  <c r="F23" i="12" s="1"/>
  <c r="I22" i="12"/>
  <c r="P117" i="12" l="1"/>
  <c r="G23" i="12"/>
  <c r="H23" i="12"/>
  <c r="M118" i="12"/>
  <c r="C117" i="12"/>
  <c r="D117" i="12"/>
  <c r="E117" i="12" s="1"/>
  <c r="B118" i="12"/>
  <c r="T23" i="12"/>
  <c r="Q24" i="12" s="1"/>
  <c r="O24" i="12"/>
  <c r="P118" i="12" l="1"/>
  <c r="I23" i="12"/>
  <c r="M119" i="12"/>
  <c r="B119" i="12"/>
  <c r="D118" i="12"/>
  <c r="E118" i="12" s="1"/>
  <c r="C118" i="12"/>
  <c r="R24" i="12"/>
  <c r="F24" i="12" s="1"/>
  <c r="S24" i="12"/>
  <c r="P119" i="12" l="1"/>
  <c r="G24" i="12"/>
  <c r="H24" i="12"/>
  <c r="M120" i="12"/>
  <c r="C119" i="12"/>
  <c r="D119" i="12"/>
  <c r="E119" i="12" s="1"/>
  <c r="B120" i="12"/>
  <c r="T24" i="12"/>
  <c r="Q25" i="12" s="1"/>
  <c r="O25" i="12"/>
  <c r="I24" i="12" l="1"/>
  <c r="P120" i="12"/>
  <c r="M121" i="12"/>
  <c r="C120" i="12"/>
  <c r="D120" i="12"/>
  <c r="E120" i="12" s="1"/>
  <c r="B121" i="12"/>
  <c r="R25" i="12"/>
  <c r="F25" i="12" s="1"/>
  <c r="S25" i="12"/>
  <c r="P121" i="12" l="1"/>
  <c r="G25" i="12"/>
  <c r="H25" i="12"/>
  <c r="M122" i="12"/>
  <c r="B122" i="12"/>
  <c r="D121" i="12"/>
  <c r="E121" i="12" s="1"/>
  <c r="C121" i="12"/>
  <c r="T25" i="12"/>
  <c r="Q26" i="12" s="1"/>
  <c r="O26" i="12"/>
  <c r="I25" i="12" l="1"/>
  <c r="P122" i="12"/>
  <c r="M123" i="12"/>
  <c r="C122" i="12"/>
  <c r="D122" i="12"/>
  <c r="E122" i="12" s="1"/>
  <c r="B123" i="12"/>
  <c r="S26" i="12"/>
  <c r="R26" i="12"/>
  <c r="F26" i="12" s="1"/>
  <c r="P123" i="12" l="1"/>
  <c r="G26" i="12"/>
  <c r="H26" i="12"/>
  <c r="M124" i="12"/>
  <c r="C123" i="12"/>
  <c r="D123" i="12"/>
  <c r="E123" i="12" s="1"/>
  <c r="B124" i="12"/>
  <c r="O27" i="12"/>
  <c r="T26" i="12"/>
  <c r="Q27" i="12" s="1"/>
  <c r="I26" i="12" l="1"/>
  <c r="P124" i="12"/>
  <c r="M125" i="12"/>
  <c r="B125" i="12"/>
  <c r="D124" i="12"/>
  <c r="E124" i="12" s="1"/>
  <c r="C124" i="12"/>
  <c r="S27" i="12"/>
  <c r="R27" i="12"/>
  <c r="F27" i="12" s="1"/>
  <c r="P125" i="12" l="1"/>
  <c r="G27" i="12"/>
  <c r="H27" i="12"/>
  <c r="M126" i="12"/>
  <c r="C125" i="12"/>
  <c r="D125" i="12"/>
  <c r="E125" i="12" s="1"/>
  <c r="B126" i="12"/>
  <c r="O28" i="12"/>
  <c r="T27" i="12"/>
  <c r="Q28" i="12" s="1"/>
  <c r="P126" i="12" l="1"/>
  <c r="I27" i="12"/>
  <c r="M127" i="12"/>
  <c r="D126" i="12"/>
  <c r="E126" i="12" s="1"/>
  <c r="B127" i="12"/>
  <c r="C126" i="12"/>
  <c r="S28" i="12"/>
  <c r="R28" i="12"/>
  <c r="F28" i="12" s="1"/>
  <c r="P127" i="12" l="1"/>
  <c r="G28" i="12"/>
  <c r="H28" i="12"/>
  <c r="M128" i="12"/>
  <c r="B128" i="12"/>
  <c r="D127" i="12"/>
  <c r="E127" i="12" s="1"/>
  <c r="C127" i="12"/>
  <c r="T28" i="12"/>
  <c r="Q29" i="12" s="1"/>
  <c r="O29" i="12"/>
  <c r="P128" i="12" l="1"/>
  <c r="I28" i="12"/>
  <c r="M129" i="12"/>
  <c r="C128" i="12"/>
  <c r="D128" i="12"/>
  <c r="E128" i="12" s="1"/>
  <c r="B129" i="12"/>
  <c r="R29" i="12"/>
  <c r="F29" i="12" s="1"/>
  <c r="S29" i="12"/>
  <c r="P129" i="12" l="1"/>
  <c r="G29" i="12"/>
  <c r="H29" i="12"/>
  <c r="M130" i="12"/>
  <c r="C129" i="12"/>
  <c r="D129" i="12"/>
  <c r="E129" i="12" s="1"/>
  <c r="B130" i="12"/>
  <c r="T29" i="12"/>
  <c r="Q30" i="12" s="1"/>
  <c r="O30" i="12"/>
  <c r="P130" i="12" l="1"/>
  <c r="I29" i="12"/>
  <c r="M131" i="12"/>
  <c r="B131" i="12"/>
  <c r="D130" i="12"/>
  <c r="E130" i="12" s="1"/>
  <c r="C130" i="12"/>
  <c r="R30" i="12"/>
  <c r="F30" i="12" s="1"/>
  <c r="S30" i="12"/>
  <c r="P131" i="12" l="1"/>
  <c r="G30" i="12"/>
  <c r="H30" i="12"/>
  <c r="M132" i="12"/>
  <c r="C131" i="12"/>
  <c r="D131" i="12"/>
  <c r="E131" i="12" s="1"/>
  <c r="B132" i="12"/>
  <c r="T30" i="12"/>
  <c r="Q31" i="12" s="1"/>
  <c r="O31" i="12"/>
  <c r="P132" i="12" l="1"/>
  <c r="I30" i="12"/>
  <c r="M133" i="12"/>
  <c r="C132" i="12"/>
  <c r="D132" i="12"/>
  <c r="E132" i="12" s="1"/>
  <c r="B133" i="12"/>
  <c r="S31" i="12"/>
  <c r="R31" i="12"/>
  <c r="F31" i="12" s="1"/>
  <c r="P133" i="12" l="1"/>
  <c r="G31" i="12"/>
  <c r="H31" i="12"/>
  <c r="M134" i="12"/>
  <c r="B134" i="12"/>
  <c r="D133" i="12"/>
  <c r="E133" i="12" s="1"/>
  <c r="C133" i="12"/>
  <c r="T31" i="12"/>
  <c r="Q32" i="12" s="1"/>
  <c r="O32" i="12"/>
  <c r="P134" i="12" l="1"/>
  <c r="I31" i="12"/>
  <c r="M135" i="12"/>
  <c r="C134" i="12"/>
  <c r="D134" i="12"/>
  <c r="E134" i="12" s="1"/>
  <c r="B135" i="12"/>
  <c r="S32" i="12"/>
  <c r="R32" i="12"/>
  <c r="F32" i="12" s="1"/>
  <c r="P135" i="12" l="1"/>
  <c r="G32" i="12"/>
  <c r="H32" i="12"/>
  <c r="M136" i="12"/>
  <c r="D135" i="12"/>
  <c r="E135" i="12" s="1"/>
  <c r="B136" i="12"/>
  <c r="C135" i="12"/>
  <c r="I32" i="12"/>
  <c r="T32" i="12"/>
  <c r="Q33" i="12" s="1"/>
  <c r="O33" i="12"/>
  <c r="P136" i="12" l="1"/>
  <c r="M137" i="12"/>
  <c r="B137" i="12"/>
  <c r="D136" i="12"/>
  <c r="E136" i="12" s="1"/>
  <c r="C136" i="12"/>
  <c r="S33" i="12"/>
  <c r="R33" i="12"/>
  <c r="F33" i="12" s="1"/>
  <c r="P137" i="12" l="1"/>
  <c r="G33" i="12"/>
  <c r="H33" i="12"/>
  <c r="M138" i="12"/>
  <c r="C137" i="12"/>
  <c r="D137" i="12"/>
  <c r="E137" i="12" s="1"/>
  <c r="B138" i="12"/>
  <c r="O34" i="12"/>
  <c r="T33" i="12"/>
  <c r="Q34" i="12" s="1"/>
  <c r="P138" i="12" l="1"/>
  <c r="I33" i="12"/>
  <c r="M139" i="12"/>
  <c r="C138" i="12"/>
  <c r="D138" i="12"/>
  <c r="E138" i="12" s="1"/>
  <c r="B139" i="12"/>
  <c r="S34" i="12"/>
  <c r="R34" i="12"/>
  <c r="F34" i="12" s="1"/>
  <c r="P139" i="12" l="1"/>
  <c r="G34" i="12"/>
  <c r="H34" i="12"/>
  <c r="M140" i="12"/>
  <c r="B140" i="12"/>
  <c r="D139" i="12"/>
  <c r="E139" i="12" s="1"/>
  <c r="C139" i="12"/>
  <c r="O35" i="12"/>
  <c r="T34" i="12"/>
  <c r="Q35" i="12" s="1"/>
  <c r="P140" i="12" l="1"/>
  <c r="I34" i="12"/>
  <c r="M141" i="12"/>
  <c r="C140" i="12"/>
  <c r="D140" i="12"/>
  <c r="E140" i="12" s="1"/>
  <c r="B141" i="12"/>
  <c r="S35" i="12"/>
  <c r="R35" i="12"/>
  <c r="F35" i="12" s="1"/>
  <c r="P141" i="12" l="1"/>
  <c r="G35" i="12"/>
  <c r="H35" i="12"/>
  <c r="M142" i="12"/>
  <c r="C141" i="12"/>
  <c r="D141" i="12"/>
  <c r="E141" i="12" s="1"/>
  <c r="B142" i="12"/>
  <c r="O36" i="12"/>
  <c r="T35" i="12"/>
  <c r="Q36" i="12" s="1"/>
  <c r="P142" i="12" l="1"/>
  <c r="I35" i="12"/>
  <c r="M143" i="12"/>
  <c r="B143" i="12"/>
  <c r="D142" i="12"/>
  <c r="E142" i="12" s="1"/>
  <c r="C142" i="12"/>
  <c r="S36" i="12"/>
  <c r="R36" i="12"/>
  <c r="F36" i="12" s="1"/>
  <c r="P143" i="12" l="1"/>
  <c r="G36" i="12"/>
  <c r="H36" i="12"/>
  <c r="M144" i="12"/>
  <c r="C143" i="12"/>
  <c r="D143" i="12"/>
  <c r="E143" i="12" s="1"/>
  <c r="B144" i="12"/>
  <c r="T36" i="12"/>
  <c r="Q37" i="12" s="1"/>
  <c r="O37" i="12"/>
  <c r="I36" i="12" l="1"/>
  <c r="P144" i="12"/>
  <c r="M145" i="12"/>
  <c r="D144" i="12"/>
  <c r="E144" i="12" s="1"/>
  <c r="B145" i="12"/>
  <c r="C144" i="12"/>
  <c r="S37" i="12"/>
  <c r="R37" i="12"/>
  <c r="F37" i="12" s="1"/>
  <c r="P145" i="12" l="1"/>
  <c r="G37" i="12"/>
  <c r="H37" i="12"/>
  <c r="M146" i="12"/>
  <c r="B146" i="12"/>
  <c r="D145" i="12"/>
  <c r="E145" i="12" s="1"/>
  <c r="C145" i="12"/>
  <c r="I37" i="12"/>
  <c r="T37" i="12"/>
  <c r="Q38" i="12" s="1"/>
  <c r="O38" i="12"/>
  <c r="P146" i="12" l="1"/>
  <c r="M147" i="12"/>
  <c r="C146" i="12"/>
  <c r="D146" i="12"/>
  <c r="E146" i="12" s="1"/>
  <c r="B147" i="12"/>
  <c r="S38" i="12"/>
  <c r="R38" i="12"/>
  <c r="F38" i="12" s="1"/>
  <c r="P147" i="12" l="1"/>
  <c r="G38" i="12"/>
  <c r="H38" i="12"/>
  <c r="M148" i="12"/>
  <c r="C147" i="12"/>
  <c r="D147" i="12"/>
  <c r="E147" i="12" s="1"/>
  <c r="B148" i="12"/>
  <c r="T38" i="12"/>
  <c r="Q39" i="12" s="1"/>
  <c r="O39" i="12"/>
  <c r="I38" i="12" l="1"/>
  <c r="P148" i="12"/>
  <c r="M149" i="12"/>
  <c r="B149" i="12"/>
  <c r="D148" i="12"/>
  <c r="E148" i="12" s="1"/>
  <c r="C148" i="12"/>
  <c r="S39" i="12"/>
  <c r="R39" i="12"/>
  <c r="F39" i="12" s="1"/>
  <c r="P149" i="12" l="1"/>
  <c r="G39" i="12"/>
  <c r="H39" i="12"/>
  <c r="M150" i="12"/>
  <c r="C149" i="12"/>
  <c r="D149" i="12"/>
  <c r="E149" i="12" s="1"/>
  <c r="B150" i="12"/>
  <c r="O40" i="12"/>
  <c r="T39" i="12"/>
  <c r="Q40" i="12" s="1"/>
  <c r="P150" i="12" l="1"/>
  <c r="I39" i="12"/>
  <c r="M151" i="12"/>
  <c r="C150" i="12"/>
  <c r="D150" i="12"/>
  <c r="E150" i="12" s="1"/>
  <c r="B151" i="12"/>
  <c r="R40" i="12"/>
  <c r="F40" i="12" s="1"/>
  <c r="S40" i="12"/>
  <c r="P151" i="12" l="1"/>
  <c r="G40" i="12"/>
  <c r="H40" i="12"/>
  <c r="M152" i="12"/>
  <c r="B152" i="12"/>
  <c r="D151" i="12"/>
  <c r="E151" i="12" s="1"/>
  <c r="C151" i="12"/>
  <c r="I40" i="12"/>
  <c r="T40" i="12"/>
  <c r="Q41" i="12" s="1"/>
  <c r="O41" i="12"/>
  <c r="P152" i="12" l="1"/>
  <c r="M153" i="12"/>
  <c r="C152" i="12"/>
  <c r="D152" i="12"/>
  <c r="E152" i="12" s="1"/>
  <c r="B153" i="12"/>
  <c r="R41" i="12"/>
  <c r="F41" i="12" s="1"/>
  <c r="S41" i="12"/>
  <c r="P153" i="12" l="1"/>
  <c r="G41" i="12"/>
  <c r="H41" i="12"/>
  <c r="M154" i="12"/>
  <c r="D153" i="12"/>
  <c r="E153" i="12" s="1"/>
  <c r="B154" i="12"/>
  <c r="C153" i="12"/>
  <c r="O42" i="12"/>
  <c r="T41" i="12"/>
  <c r="Q42" i="12" s="1"/>
  <c r="I41" i="12" l="1"/>
  <c r="P154" i="12"/>
  <c r="M155" i="12"/>
  <c r="B155" i="12"/>
  <c r="D154" i="12"/>
  <c r="E154" i="12" s="1"/>
  <c r="C154" i="12"/>
  <c r="S42" i="12"/>
  <c r="R42" i="12"/>
  <c r="F42" i="12" s="1"/>
  <c r="P155" i="12" l="1"/>
  <c r="G42" i="12"/>
  <c r="H42" i="12"/>
  <c r="M156" i="12"/>
  <c r="C155" i="12"/>
  <c r="D155" i="12"/>
  <c r="E155" i="12" s="1"/>
  <c r="B156" i="12"/>
  <c r="T42" i="12"/>
  <c r="Q43" i="12" s="1"/>
  <c r="O43" i="12"/>
  <c r="P156" i="12" l="1"/>
  <c r="I42" i="12"/>
  <c r="M157" i="12"/>
  <c r="C156" i="12"/>
  <c r="D156" i="12"/>
  <c r="E156" i="12" s="1"/>
  <c r="B157" i="12"/>
  <c r="S43" i="12"/>
  <c r="R43" i="12"/>
  <c r="F43" i="12" s="1"/>
  <c r="P157" i="12" l="1"/>
  <c r="G43" i="12"/>
  <c r="H43" i="12"/>
  <c r="M158" i="12"/>
  <c r="B158" i="12"/>
  <c r="D157" i="12"/>
  <c r="E157" i="12" s="1"/>
  <c r="C157" i="12"/>
  <c r="T43" i="12"/>
  <c r="Q44" i="12" s="1"/>
  <c r="O44" i="12"/>
  <c r="P158" i="12" l="1"/>
  <c r="I43" i="12"/>
  <c r="M159" i="12"/>
  <c r="D158" i="12"/>
  <c r="E158" i="12" s="1"/>
  <c r="C158" i="12"/>
  <c r="B159" i="12"/>
  <c r="S44" i="12"/>
  <c r="R44" i="12"/>
  <c r="F44" i="12" s="1"/>
  <c r="P159" i="12" l="1"/>
  <c r="G44" i="12"/>
  <c r="H44" i="12"/>
  <c r="M160" i="12"/>
  <c r="C159" i="12"/>
  <c r="D159" i="12"/>
  <c r="E159" i="12" s="1"/>
  <c r="B160" i="12"/>
  <c r="T44" i="12"/>
  <c r="Q45" i="12" s="1"/>
  <c r="O45" i="12"/>
  <c r="I44" i="12" l="1"/>
  <c r="P160" i="12"/>
  <c r="M161" i="12"/>
  <c r="B161" i="12"/>
  <c r="D160" i="12"/>
  <c r="E160" i="12" s="1"/>
  <c r="C160" i="12"/>
  <c r="S45" i="12"/>
  <c r="R45" i="12"/>
  <c r="F45" i="12" s="1"/>
  <c r="P161" i="12" l="1"/>
  <c r="G45" i="12"/>
  <c r="H45" i="12"/>
  <c r="D161" i="12"/>
  <c r="E161" i="12" s="1"/>
  <c r="C161" i="12"/>
  <c r="B162" i="12"/>
  <c r="O46" i="12"/>
  <c r="T45" i="12"/>
  <c r="Q46" i="12" s="1"/>
  <c r="I45" i="12" l="1"/>
  <c r="H162" i="12"/>
  <c r="C162" i="12"/>
  <c r="D162" i="12"/>
  <c r="E162" i="12"/>
  <c r="F162" i="12" s="1"/>
  <c r="I162" i="12"/>
  <c r="S46" i="12"/>
  <c r="R46" i="12"/>
  <c r="F46" i="12" s="1"/>
  <c r="G46" i="12" l="1"/>
  <c r="H46" i="12"/>
  <c r="O47" i="12"/>
  <c r="T46" i="12"/>
  <c r="Q47" i="12" s="1"/>
  <c r="I46" i="12" l="1"/>
  <c r="S47" i="12"/>
  <c r="R47" i="12"/>
  <c r="F47" i="12" s="1"/>
  <c r="G47" i="12" l="1"/>
  <c r="H47" i="12"/>
  <c r="T47" i="12"/>
  <c r="Q48" i="12" s="1"/>
  <c r="O48" i="12"/>
  <c r="I47" i="12" l="1"/>
  <c r="S48" i="12"/>
  <c r="R48" i="12"/>
  <c r="F48" i="12" s="1"/>
  <c r="G48" i="12" l="1"/>
  <c r="H48" i="12"/>
  <c r="O49" i="12"/>
  <c r="T48" i="12"/>
  <c r="Q49" i="12" s="1"/>
  <c r="I48" i="12" l="1"/>
  <c r="R49" i="12"/>
  <c r="F49" i="12" s="1"/>
  <c r="S49" i="12"/>
  <c r="G49" i="12" l="1"/>
  <c r="H49" i="12"/>
  <c r="T49" i="12"/>
  <c r="Q50" i="12" s="1"/>
  <c r="O50" i="12"/>
  <c r="I49" i="12" l="1"/>
  <c r="R50" i="12"/>
  <c r="F50" i="12" s="1"/>
  <c r="S50" i="12"/>
  <c r="G50" i="12" l="1"/>
  <c r="H50" i="12"/>
  <c r="T50" i="12"/>
  <c r="Q51" i="12" s="1"/>
  <c r="O51" i="12"/>
  <c r="I50" i="12" l="1"/>
  <c r="S51" i="12"/>
  <c r="R51" i="12"/>
  <c r="F51" i="12" s="1"/>
  <c r="G51" i="12" l="1"/>
  <c r="H51" i="12"/>
  <c r="O52" i="12"/>
  <c r="T51" i="12"/>
  <c r="Q52" i="12" s="1"/>
  <c r="I51" i="12" l="1"/>
  <c r="S52" i="12"/>
  <c r="R52" i="12"/>
  <c r="F52" i="12" s="1"/>
  <c r="G52" i="12" l="1"/>
  <c r="H52" i="12"/>
  <c r="T52" i="12"/>
  <c r="Q53" i="12" s="1"/>
  <c r="O53" i="12"/>
  <c r="I52" i="12" l="1"/>
  <c r="S53" i="12"/>
  <c r="R53" i="12"/>
  <c r="F53" i="12" s="1"/>
  <c r="G53" i="12" l="1"/>
  <c r="H53" i="12"/>
  <c r="T53" i="12"/>
  <c r="Q54" i="12" s="1"/>
  <c r="O54" i="12"/>
  <c r="I53" i="12" l="1"/>
  <c r="R54" i="12"/>
  <c r="F54" i="12" s="1"/>
  <c r="S54" i="12"/>
  <c r="G54" i="12" l="1"/>
  <c r="H54" i="12"/>
  <c r="O55" i="12"/>
  <c r="T54" i="12"/>
  <c r="Q55" i="12" s="1"/>
  <c r="I54" i="12" l="1"/>
  <c r="S55" i="12"/>
  <c r="R55" i="12"/>
  <c r="F55" i="12" s="1"/>
  <c r="G55" i="12" l="1"/>
  <c r="H55" i="12"/>
  <c r="T55" i="12"/>
  <c r="Q56" i="12" s="1"/>
  <c r="O56" i="12"/>
  <c r="I55" i="12" l="1"/>
  <c r="S56" i="12"/>
  <c r="R56" i="12"/>
  <c r="F56" i="12" s="1"/>
  <c r="G56" i="12" l="1"/>
  <c r="H56" i="12"/>
  <c r="O57" i="12"/>
  <c r="T56" i="12"/>
  <c r="Q57" i="12" s="1"/>
  <c r="I56" i="12" l="1"/>
  <c r="R57" i="12"/>
  <c r="F57" i="12" s="1"/>
  <c r="S57" i="12"/>
  <c r="G57" i="12" l="1"/>
  <c r="H57" i="12"/>
  <c r="T57" i="12"/>
  <c r="Q58" i="12" s="1"/>
  <c r="O58" i="12"/>
  <c r="I57" i="12" l="1"/>
  <c r="R58" i="12"/>
  <c r="F58" i="12" s="1"/>
  <c r="S58" i="12"/>
  <c r="O59" i="12" s="1"/>
  <c r="G58" i="12" l="1"/>
  <c r="H58" i="12"/>
  <c r="S59" i="12"/>
  <c r="T58" i="12"/>
  <c r="Q59" i="12" s="1"/>
  <c r="R59" i="12" s="1"/>
  <c r="F59" i="12" s="1"/>
  <c r="G59" i="12" l="1"/>
  <c r="H59" i="12"/>
  <c r="T59" i="12"/>
  <c r="Q60" i="12" s="1"/>
  <c r="O60" i="12"/>
  <c r="I58" i="12"/>
  <c r="I59" i="12" l="1"/>
  <c r="R60" i="12"/>
  <c r="F60" i="12" s="1"/>
  <c r="S60" i="12"/>
  <c r="G60" i="12" l="1"/>
  <c r="H60" i="12"/>
  <c r="T60" i="12"/>
  <c r="Q61" i="12" s="1"/>
  <c r="O61" i="12"/>
  <c r="I60" i="12" l="1"/>
  <c r="R61" i="12"/>
  <c r="F61" i="12" s="1"/>
  <c r="H61" i="12" s="1"/>
  <c r="S61" i="12"/>
  <c r="G61" i="12" l="1"/>
  <c r="I61" i="12" s="1"/>
  <c r="T61" i="12"/>
  <c r="Q62" i="12" s="1"/>
  <c r="O62" i="12"/>
  <c r="R62" i="12" l="1"/>
  <c r="F62" i="12" s="1"/>
  <c r="S62" i="12"/>
  <c r="G62" i="12" l="1"/>
  <c r="H62" i="12"/>
  <c r="T62" i="12"/>
  <c r="Q63" i="12" s="1"/>
  <c r="O63" i="12"/>
  <c r="I62" i="12" l="1"/>
  <c r="R63" i="12"/>
  <c r="F63" i="12" s="1"/>
  <c r="S63" i="12"/>
  <c r="G63" i="12" l="1"/>
  <c r="H63" i="12"/>
  <c r="O64" i="12"/>
  <c r="T63" i="12"/>
  <c r="Q64" i="12" s="1"/>
  <c r="I63" i="12" l="1"/>
  <c r="R64" i="12"/>
  <c r="F64" i="12" s="1"/>
  <c r="S64" i="12"/>
  <c r="G64" i="12" l="1"/>
  <c r="H64" i="12"/>
  <c r="T64" i="12"/>
  <c r="Q65" i="12" s="1"/>
  <c r="O65" i="12"/>
  <c r="I64" i="12" l="1"/>
  <c r="R65" i="12"/>
  <c r="F65" i="12" s="1"/>
  <c r="H65" i="12" s="1"/>
  <c r="S65" i="12"/>
  <c r="G65" i="12" l="1"/>
  <c r="I65" i="12" s="1"/>
  <c r="T65" i="12"/>
  <c r="Q66" i="12" s="1"/>
  <c r="O66" i="12"/>
  <c r="R66" i="12" l="1"/>
  <c r="F66" i="12" s="1"/>
  <c r="S66" i="12"/>
  <c r="G66" i="12" l="1"/>
  <c r="H66" i="12"/>
  <c r="T66" i="12"/>
  <c r="Q67" i="12" s="1"/>
  <c r="O67" i="12"/>
  <c r="I66" i="12" l="1"/>
  <c r="R67" i="12"/>
  <c r="F67" i="12" s="1"/>
  <c r="S67" i="12"/>
  <c r="G67" i="12" l="1"/>
  <c r="H67" i="12"/>
  <c r="T67" i="12"/>
  <c r="Q68" i="12" s="1"/>
  <c r="O68" i="12"/>
  <c r="I67" i="12" l="1"/>
  <c r="R68" i="12"/>
  <c r="F68" i="12" s="1"/>
  <c r="S68" i="12"/>
  <c r="G68" i="12" l="1"/>
  <c r="H68" i="12"/>
  <c r="O69" i="12"/>
  <c r="T68" i="12"/>
  <c r="Q69" i="12" s="1"/>
  <c r="I68" i="12" l="1"/>
  <c r="R69" i="12"/>
  <c r="F69" i="12" s="1"/>
  <c r="S69" i="12"/>
  <c r="G69" i="12" l="1"/>
  <c r="H69" i="12"/>
  <c r="T69" i="12"/>
  <c r="Q70" i="12" s="1"/>
  <c r="O70" i="12"/>
  <c r="I69" i="12" l="1"/>
  <c r="R70" i="12"/>
  <c r="F70" i="12" s="1"/>
  <c r="S70" i="12"/>
  <c r="G70" i="12" l="1"/>
  <c r="H70" i="12"/>
  <c r="T70" i="12"/>
  <c r="Q71" i="12" s="1"/>
  <c r="O71" i="12"/>
  <c r="I70" i="12" l="1"/>
  <c r="R71" i="12"/>
  <c r="F71" i="12" s="1"/>
  <c r="S71" i="12"/>
  <c r="G71" i="12" l="1"/>
  <c r="H71" i="12"/>
  <c r="T71" i="12"/>
  <c r="Q72" i="12" s="1"/>
  <c r="O72" i="12"/>
  <c r="I71" i="12" l="1"/>
  <c r="R72" i="12"/>
  <c r="F72" i="12" s="1"/>
  <c r="S72" i="12"/>
  <c r="G72" i="12" l="1"/>
  <c r="H72" i="12"/>
  <c r="T72" i="12"/>
  <c r="Q73" i="12" s="1"/>
  <c r="O73" i="12"/>
  <c r="I72" i="12" l="1"/>
  <c r="R73" i="12"/>
  <c r="F73" i="12" s="1"/>
  <c r="S73" i="12"/>
  <c r="G73" i="12" l="1"/>
  <c r="H73" i="12"/>
  <c r="T73" i="12"/>
  <c r="Q74" i="12" s="1"/>
  <c r="O74" i="12"/>
  <c r="I73" i="12" l="1"/>
  <c r="R74" i="12"/>
  <c r="F74" i="12" s="1"/>
  <c r="S74" i="12"/>
  <c r="G74" i="12" l="1"/>
  <c r="H74" i="12"/>
  <c r="T74" i="12"/>
  <c r="Q75" i="12" s="1"/>
  <c r="O75" i="12"/>
  <c r="I74" i="12" l="1"/>
  <c r="R75" i="12"/>
  <c r="F75" i="12" s="1"/>
  <c r="S75" i="12"/>
  <c r="G75" i="12" l="1"/>
  <c r="H75" i="12"/>
  <c r="O76" i="12"/>
  <c r="T75" i="12"/>
  <c r="Q76" i="12" s="1"/>
  <c r="I75" i="12" l="1"/>
  <c r="R76" i="12"/>
  <c r="F76" i="12" s="1"/>
  <c r="S76" i="12"/>
  <c r="G76" i="12" l="1"/>
  <c r="H76" i="12"/>
  <c r="T76" i="12"/>
  <c r="Q77" i="12" s="1"/>
  <c r="O77" i="12"/>
  <c r="I76" i="12" l="1"/>
  <c r="R77" i="12"/>
  <c r="F77" i="12" s="1"/>
  <c r="S77" i="12"/>
  <c r="G77" i="12" l="1"/>
  <c r="H77" i="12"/>
  <c r="T77" i="12"/>
  <c r="Q78" i="12" s="1"/>
  <c r="O78" i="12"/>
  <c r="I77" i="12" l="1"/>
  <c r="R78" i="12"/>
  <c r="F78" i="12" s="1"/>
  <c r="S78" i="12"/>
  <c r="G78" i="12" l="1"/>
  <c r="H78" i="12"/>
  <c r="T78" i="12"/>
  <c r="Q79" i="12" s="1"/>
  <c r="O79" i="12"/>
  <c r="I78" i="12" l="1"/>
  <c r="R79" i="12"/>
  <c r="F79" i="12" s="1"/>
  <c r="S79" i="12"/>
  <c r="G79" i="12" l="1"/>
  <c r="H79" i="12"/>
  <c r="T79" i="12"/>
  <c r="Q80" i="12" s="1"/>
  <c r="O80" i="12"/>
  <c r="I79" i="12" l="1"/>
  <c r="R80" i="12"/>
  <c r="F80" i="12" s="1"/>
  <c r="S80" i="12"/>
  <c r="G80" i="12" l="1"/>
  <c r="H80" i="12"/>
  <c r="T80" i="12"/>
  <c r="Q81" i="12" s="1"/>
  <c r="O81" i="12"/>
  <c r="I80" i="12" l="1"/>
  <c r="R81" i="12"/>
  <c r="F81" i="12" s="1"/>
  <c r="S81" i="12"/>
  <c r="G81" i="12" l="1"/>
  <c r="H81" i="12"/>
  <c r="T81" i="12"/>
  <c r="Q82" i="12" s="1"/>
  <c r="O82" i="12"/>
  <c r="I81" i="12" l="1"/>
  <c r="R82" i="12"/>
  <c r="F82" i="12" s="1"/>
  <c r="S82" i="12"/>
  <c r="G82" i="12" l="1"/>
  <c r="H82" i="12"/>
  <c r="O83" i="12"/>
  <c r="T82" i="12"/>
  <c r="Q83" i="12" s="1"/>
  <c r="I82" i="12" l="1"/>
  <c r="R83" i="12"/>
  <c r="F83" i="12" s="1"/>
  <c r="S83" i="12"/>
  <c r="G83" i="12" l="1"/>
  <c r="H83" i="12"/>
  <c r="T83" i="12"/>
  <c r="Q84" i="12" s="1"/>
  <c r="O84" i="12"/>
  <c r="E163" i="12"/>
  <c r="C163" i="12"/>
  <c r="D163" i="12"/>
  <c r="G10" i="12" l="1"/>
  <c r="G13" i="12" s="1"/>
  <c r="I83" i="12"/>
  <c r="R84" i="12"/>
  <c r="F84" i="12" s="1"/>
  <c r="S84" i="12"/>
  <c r="G84" i="12" l="1"/>
  <c r="H84" i="12"/>
  <c r="T84" i="12"/>
  <c r="Q85" i="12" s="1"/>
  <c r="O85" i="12"/>
  <c r="I84" i="12" l="1"/>
  <c r="R85" i="12"/>
  <c r="F85" i="12" s="1"/>
  <c r="S85" i="12"/>
  <c r="G85" i="12" l="1"/>
  <c r="H85" i="12"/>
  <c r="T85" i="12"/>
  <c r="Q86" i="12" s="1"/>
  <c r="O86" i="12"/>
  <c r="I85" i="12" l="1"/>
  <c r="R86" i="12"/>
  <c r="F86" i="12" s="1"/>
  <c r="S86" i="12"/>
  <c r="G86" i="12" l="1"/>
  <c r="H86" i="12"/>
  <c r="T86" i="12"/>
  <c r="Q87" i="12" s="1"/>
  <c r="O87" i="12"/>
  <c r="I86" i="12" l="1"/>
  <c r="R87" i="12"/>
  <c r="F87" i="12" s="1"/>
  <c r="S87" i="12"/>
  <c r="G87" i="12" l="1"/>
  <c r="H87" i="12"/>
  <c r="O88" i="12"/>
  <c r="T87" i="12"/>
  <c r="Q88" i="12" s="1"/>
  <c r="I87" i="12" l="1"/>
  <c r="R88" i="12"/>
  <c r="F88" i="12" s="1"/>
  <c r="S88" i="12"/>
  <c r="G88" i="12" l="1"/>
  <c r="H88" i="12"/>
  <c r="T88" i="12"/>
  <c r="Q89" i="12" s="1"/>
  <c r="O89" i="12"/>
  <c r="I88" i="12" l="1"/>
  <c r="R89" i="12"/>
  <c r="F89" i="12" s="1"/>
  <c r="S89" i="12"/>
  <c r="G89" i="12" l="1"/>
  <c r="H89" i="12"/>
  <c r="T89" i="12"/>
  <c r="Q90" i="12" s="1"/>
  <c r="O90" i="12"/>
  <c r="I89" i="12" l="1"/>
  <c r="R90" i="12"/>
  <c r="F90" i="12" s="1"/>
  <c r="S90" i="12"/>
  <c r="G90" i="12" l="1"/>
  <c r="H90" i="12"/>
  <c r="T90" i="12"/>
  <c r="Q91" i="12" s="1"/>
  <c r="O91" i="12"/>
  <c r="I90" i="12" l="1"/>
  <c r="R91" i="12"/>
  <c r="F91" i="12" s="1"/>
  <c r="S91" i="12"/>
  <c r="G91" i="12" l="1"/>
  <c r="H91" i="12"/>
  <c r="T91" i="12"/>
  <c r="Q92" i="12" s="1"/>
  <c r="O92" i="12"/>
  <c r="I91" i="12" l="1"/>
  <c r="R92" i="12"/>
  <c r="F92" i="12" s="1"/>
  <c r="S92" i="12"/>
  <c r="G92" i="12" l="1"/>
  <c r="H92" i="12"/>
  <c r="O93" i="12"/>
  <c r="T92" i="12"/>
  <c r="Q93" i="12" s="1"/>
  <c r="I92" i="12" l="1"/>
  <c r="R93" i="12"/>
  <c r="F93" i="12" s="1"/>
  <c r="S93" i="12"/>
  <c r="G93" i="12" l="1"/>
  <c r="H93" i="12"/>
  <c r="T93" i="12"/>
  <c r="Q94" i="12" s="1"/>
  <c r="O94" i="12"/>
  <c r="I93" i="12" l="1"/>
  <c r="R94" i="12"/>
  <c r="F94" i="12" s="1"/>
  <c r="S94" i="12"/>
  <c r="G94" i="12" l="1"/>
  <c r="H94" i="12"/>
  <c r="O95" i="12"/>
  <c r="T94" i="12"/>
  <c r="Q95" i="12" s="1"/>
  <c r="I94" i="12" l="1"/>
  <c r="R95" i="12"/>
  <c r="F95" i="12" s="1"/>
  <c r="H95" i="12" s="1"/>
  <c r="S95" i="12"/>
  <c r="G95" i="12" l="1"/>
  <c r="I95" i="12" s="1"/>
  <c r="T95" i="12"/>
  <c r="Q96" i="12" s="1"/>
  <c r="O96" i="12"/>
  <c r="R96" i="12" l="1"/>
  <c r="F96" i="12" s="1"/>
  <c r="S96" i="12"/>
  <c r="G96" i="12" l="1"/>
  <c r="H96" i="12"/>
  <c r="T96" i="12"/>
  <c r="Q97" i="12" s="1"/>
  <c r="O97" i="12"/>
  <c r="I96" i="12" l="1"/>
  <c r="R97" i="12"/>
  <c r="F97" i="12" s="1"/>
  <c r="S97" i="12"/>
  <c r="G97" i="12" l="1"/>
  <c r="H97" i="12"/>
  <c r="T97" i="12"/>
  <c r="Q98" i="12" s="1"/>
  <c r="O98" i="12"/>
  <c r="I97" i="12" l="1"/>
  <c r="R98" i="12"/>
  <c r="F98" i="12" s="1"/>
  <c r="S98" i="12"/>
  <c r="G98" i="12" l="1"/>
  <c r="H98" i="12"/>
  <c r="T98" i="12"/>
  <c r="Q99" i="12" s="1"/>
  <c r="O99" i="12"/>
  <c r="I98" i="12" l="1"/>
  <c r="R99" i="12"/>
  <c r="F99" i="12" s="1"/>
  <c r="S99" i="12"/>
  <c r="G99" i="12" l="1"/>
  <c r="H99" i="12"/>
  <c r="O100" i="12"/>
  <c r="T99" i="12"/>
  <c r="Q100" i="12" s="1"/>
  <c r="I99" i="12" l="1"/>
  <c r="R100" i="12"/>
  <c r="F100" i="12" s="1"/>
  <c r="S100" i="12"/>
  <c r="G100" i="12" l="1"/>
  <c r="H100" i="12"/>
  <c r="T100" i="12"/>
  <c r="Q101" i="12" s="1"/>
  <c r="O101" i="12"/>
  <c r="I100" i="12" l="1"/>
  <c r="R101" i="12"/>
  <c r="F101" i="12" s="1"/>
  <c r="S101" i="12"/>
  <c r="G101" i="12" l="1"/>
  <c r="H101" i="12"/>
  <c r="T101" i="12"/>
  <c r="Q102" i="12" s="1"/>
  <c r="O102" i="12"/>
  <c r="I101" i="12" l="1"/>
  <c r="R102" i="12"/>
  <c r="F102" i="12" s="1"/>
  <c r="S102" i="12"/>
  <c r="G102" i="12" l="1"/>
  <c r="H102" i="12"/>
  <c r="O103" i="12"/>
  <c r="T102" i="12"/>
  <c r="Q103" i="12" s="1"/>
  <c r="I102" i="12" l="1"/>
  <c r="R103" i="12"/>
  <c r="F103" i="12" s="1"/>
  <c r="S103" i="12"/>
  <c r="G103" i="12" l="1"/>
  <c r="H103" i="12"/>
  <c r="T103" i="12"/>
  <c r="Q104" i="12" s="1"/>
  <c r="O104" i="12"/>
  <c r="I103" i="12" l="1"/>
  <c r="R104" i="12"/>
  <c r="F104" i="12" s="1"/>
  <c r="S104" i="12"/>
  <c r="G104" i="12" l="1"/>
  <c r="H104" i="12"/>
  <c r="T104" i="12"/>
  <c r="Q105" i="12" s="1"/>
  <c r="O105" i="12"/>
  <c r="I104" i="12" l="1"/>
  <c r="R105" i="12"/>
  <c r="F105" i="12" s="1"/>
  <c r="S105" i="12"/>
  <c r="G105" i="12" l="1"/>
  <c r="H105" i="12"/>
  <c r="T105" i="12"/>
  <c r="Q106" i="12" s="1"/>
  <c r="O106" i="12"/>
  <c r="I105" i="12" l="1"/>
  <c r="R106" i="12"/>
  <c r="F106" i="12" s="1"/>
  <c r="S106" i="12"/>
  <c r="G106" i="12" l="1"/>
  <c r="H106" i="12"/>
  <c r="T106" i="12"/>
  <c r="Q107" i="12" s="1"/>
  <c r="O107" i="12"/>
  <c r="I106" i="12" l="1"/>
  <c r="R107" i="12"/>
  <c r="F107" i="12" s="1"/>
  <c r="S107" i="12"/>
  <c r="G107" i="12" l="1"/>
  <c r="H107" i="12"/>
  <c r="T107" i="12"/>
  <c r="Q108" i="12" s="1"/>
  <c r="O108" i="12"/>
  <c r="I107" i="12" l="1"/>
  <c r="R108" i="12"/>
  <c r="F108" i="12" s="1"/>
  <c r="S108" i="12"/>
  <c r="G108" i="12" l="1"/>
  <c r="H108" i="12"/>
  <c r="T108" i="12"/>
  <c r="Q109" i="12" s="1"/>
  <c r="O109" i="12"/>
  <c r="I108" i="12" l="1"/>
  <c r="R109" i="12"/>
  <c r="F109" i="12" s="1"/>
  <c r="H109" i="12" s="1"/>
  <c r="S109" i="12"/>
  <c r="G109" i="12" l="1"/>
  <c r="I109" i="12" s="1"/>
  <c r="T109" i="12"/>
  <c r="Q110" i="12" s="1"/>
  <c r="O110" i="12"/>
  <c r="R110" i="12" l="1"/>
  <c r="F110" i="12" s="1"/>
  <c r="H110" i="12" s="1"/>
  <c r="S110" i="12"/>
  <c r="G110" i="12" l="1"/>
  <c r="I110" i="12" s="1"/>
  <c r="T110" i="12"/>
  <c r="Q111" i="12" s="1"/>
  <c r="O111" i="12"/>
  <c r="R111" i="12" l="1"/>
  <c r="F111" i="12" s="1"/>
  <c r="S111" i="12"/>
  <c r="G111" i="12" l="1"/>
  <c r="H111" i="12"/>
  <c r="O112" i="12"/>
  <c r="T111" i="12"/>
  <c r="Q112" i="12" s="1"/>
  <c r="I111" i="12" l="1"/>
  <c r="R112" i="12"/>
  <c r="F112" i="12" s="1"/>
  <c r="S112" i="12"/>
  <c r="G112" i="12" l="1"/>
  <c r="H112" i="12"/>
  <c r="T112" i="12"/>
  <c r="Q113" i="12" s="1"/>
  <c r="O113" i="12"/>
  <c r="I112" i="12" l="1"/>
  <c r="R113" i="12"/>
  <c r="F113" i="12" s="1"/>
  <c r="S113" i="12"/>
  <c r="G113" i="12" l="1"/>
  <c r="H113" i="12"/>
  <c r="T113" i="12"/>
  <c r="Q114" i="12" s="1"/>
  <c r="O114" i="12"/>
  <c r="I113" i="12" l="1"/>
  <c r="R114" i="12"/>
  <c r="F114" i="12" s="1"/>
  <c r="S114" i="12"/>
  <c r="G114" i="12" l="1"/>
  <c r="H114" i="12"/>
  <c r="T114" i="12"/>
  <c r="Q115" i="12" s="1"/>
  <c r="O115" i="12"/>
  <c r="I114" i="12" l="1"/>
  <c r="R115" i="12"/>
  <c r="F115" i="12" s="1"/>
  <c r="S115" i="12"/>
  <c r="G115" i="12" l="1"/>
  <c r="H115" i="12"/>
  <c r="T115" i="12"/>
  <c r="Q116" i="12" s="1"/>
  <c r="O116" i="12"/>
  <c r="I115" i="12" l="1"/>
  <c r="R116" i="12"/>
  <c r="F116" i="12" s="1"/>
  <c r="S116" i="12"/>
  <c r="G116" i="12" l="1"/>
  <c r="H116" i="12"/>
  <c r="O117" i="12"/>
  <c r="T116" i="12"/>
  <c r="Q117" i="12" s="1"/>
  <c r="I116" i="12" l="1"/>
  <c r="R117" i="12"/>
  <c r="F117" i="12" s="1"/>
  <c r="S117" i="12"/>
  <c r="G117" i="12" l="1"/>
  <c r="H117" i="12"/>
  <c r="T117" i="12"/>
  <c r="Q118" i="12" s="1"/>
  <c r="O118" i="12"/>
  <c r="I117" i="12" l="1"/>
  <c r="R118" i="12"/>
  <c r="F118" i="12" s="1"/>
  <c r="S118" i="12"/>
  <c r="G118" i="12" l="1"/>
  <c r="H118" i="12"/>
  <c r="O119" i="12"/>
  <c r="T118" i="12"/>
  <c r="Q119" i="12" s="1"/>
  <c r="I118" i="12" l="1"/>
  <c r="R119" i="12"/>
  <c r="F119" i="12" s="1"/>
  <c r="S119" i="12"/>
  <c r="G119" i="12" l="1"/>
  <c r="H119" i="12"/>
  <c r="T119" i="12"/>
  <c r="Q120" i="12" s="1"/>
  <c r="O120" i="12"/>
  <c r="I119" i="12" l="1"/>
  <c r="R120" i="12"/>
  <c r="F120" i="12" s="1"/>
  <c r="S120" i="12"/>
  <c r="G120" i="12" l="1"/>
  <c r="H120" i="12"/>
  <c r="T120" i="12"/>
  <c r="Q121" i="12" s="1"/>
  <c r="O121" i="12"/>
  <c r="I120" i="12" l="1"/>
  <c r="R121" i="12"/>
  <c r="F121" i="12" s="1"/>
  <c r="S121" i="12"/>
  <c r="G121" i="12" l="1"/>
  <c r="H121" i="12"/>
  <c r="T121" i="12"/>
  <c r="Q122" i="12" s="1"/>
  <c r="O122" i="12"/>
  <c r="I121" i="12" l="1"/>
  <c r="R122" i="12"/>
  <c r="F122" i="12" s="1"/>
  <c r="S122" i="12"/>
  <c r="G122" i="12" l="1"/>
  <c r="H122" i="12"/>
  <c r="T122" i="12"/>
  <c r="Q123" i="12" s="1"/>
  <c r="O123" i="12"/>
  <c r="I122" i="12" l="1"/>
  <c r="R123" i="12"/>
  <c r="F123" i="12" s="1"/>
  <c r="S123" i="12"/>
  <c r="G123" i="12" l="1"/>
  <c r="H123" i="12"/>
  <c r="O124" i="12"/>
  <c r="T123" i="12"/>
  <c r="Q124" i="12" s="1"/>
  <c r="I123" i="12" l="1"/>
  <c r="R124" i="12"/>
  <c r="F124" i="12" s="1"/>
  <c r="S124" i="12"/>
  <c r="G124" i="12" l="1"/>
  <c r="H124" i="12"/>
  <c r="T124" i="12"/>
  <c r="Q125" i="12" s="1"/>
  <c r="O125" i="12"/>
  <c r="I124" i="12" l="1"/>
  <c r="R125" i="12"/>
  <c r="F125" i="12" s="1"/>
  <c r="S125" i="12"/>
  <c r="G125" i="12" l="1"/>
  <c r="H125" i="12"/>
  <c r="T125" i="12"/>
  <c r="Q126" i="12" s="1"/>
  <c r="O126" i="12"/>
  <c r="I125" i="12" l="1"/>
  <c r="R126" i="12"/>
  <c r="F126" i="12" s="1"/>
  <c r="S126" i="12"/>
  <c r="G126" i="12" l="1"/>
  <c r="H126" i="12"/>
  <c r="O127" i="12"/>
  <c r="T126" i="12"/>
  <c r="Q127" i="12" s="1"/>
  <c r="I126" i="12" l="1"/>
  <c r="R127" i="12"/>
  <c r="F127" i="12" s="1"/>
  <c r="S127" i="12"/>
  <c r="G127" i="12" l="1"/>
  <c r="H127" i="12"/>
  <c r="T127" i="12"/>
  <c r="Q128" i="12" s="1"/>
  <c r="O128" i="12"/>
  <c r="I127" i="12" l="1"/>
  <c r="R128" i="12"/>
  <c r="F128" i="12" s="1"/>
  <c r="S128" i="12"/>
  <c r="G128" i="12" l="1"/>
  <c r="H128" i="12"/>
  <c r="O129" i="12"/>
  <c r="T128" i="12"/>
  <c r="Q129" i="12" s="1"/>
  <c r="I128" i="12" l="1"/>
  <c r="R129" i="12"/>
  <c r="F129" i="12" s="1"/>
  <c r="S129" i="12"/>
  <c r="G129" i="12" l="1"/>
  <c r="H129" i="12"/>
  <c r="T129" i="12"/>
  <c r="Q130" i="12" s="1"/>
  <c r="O130" i="12"/>
  <c r="I129" i="12" l="1"/>
  <c r="R130" i="12"/>
  <c r="F130" i="12" s="1"/>
  <c r="S130" i="12"/>
  <c r="G130" i="12" l="1"/>
  <c r="H130" i="12"/>
  <c r="O131" i="12"/>
  <c r="T130" i="12"/>
  <c r="Q131" i="12" s="1"/>
  <c r="I130" i="12" l="1"/>
  <c r="R131" i="12"/>
  <c r="F131" i="12" s="1"/>
  <c r="S131" i="12"/>
  <c r="G131" i="12" l="1"/>
  <c r="H131" i="12"/>
  <c r="O132" i="12"/>
  <c r="T131" i="12"/>
  <c r="Q132" i="12" s="1"/>
  <c r="I131" i="12" l="1"/>
  <c r="R132" i="12"/>
  <c r="F132" i="12" s="1"/>
  <c r="S132" i="12"/>
  <c r="G132" i="12" l="1"/>
  <c r="H132" i="12"/>
  <c r="T132" i="12"/>
  <c r="Q133" i="12" s="1"/>
  <c r="O133" i="12"/>
  <c r="I132" i="12" l="1"/>
  <c r="R133" i="12"/>
  <c r="F133" i="12" s="1"/>
  <c r="S133" i="12"/>
  <c r="G133" i="12" l="1"/>
  <c r="H133" i="12"/>
  <c r="T133" i="12"/>
  <c r="Q134" i="12" s="1"/>
  <c r="O134" i="12"/>
  <c r="I133" i="12" l="1"/>
  <c r="R134" i="12"/>
  <c r="F134" i="12" s="1"/>
  <c r="S134" i="12"/>
  <c r="G134" i="12" l="1"/>
  <c r="H134" i="12"/>
  <c r="T134" i="12"/>
  <c r="Q135" i="12" s="1"/>
  <c r="O135" i="12"/>
  <c r="I134" i="12" l="1"/>
  <c r="R135" i="12"/>
  <c r="F135" i="12" s="1"/>
  <c r="S135" i="12"/>
  <c r="G135" i="12" l="1"/>
  <c r="H135" i="12"/>
  <c r="O136" i="12"/>
  <c r="T135" i="12"/>
  <c r="Q136" i="12" s="1"/>
  <c r="I135" i="12" l="1"/>
  <c r="R136" i="12"/>
  <c r="F136" i="12" s="1"/>
  <c r="S136" i="12"/>
  <c r="G136" i="12" l="1"/>
  <c r="H136" i="12"/>
  <c r="T136" i="12"/>
  <c r="Q137" i="12" s="1"/>
  <c r="O137" i="12"/>
  <c r="I136" i="12" l="1"/>
  <c r="R137" i="12"/>
  <c r="F137" i="12" s="1"/>
  <c r="S137" i="12"/>
  <c r="G137" i="12" l="1"/>
  <c r="H137" i="12"/>
  <c r="T137" i="12"/>
  <c r="Q138" i="12" s="1"/>
  <c r="O138" i="12"/>
  <c r="I137" i="12" l="1"/>
  <c r="R138" i="12"/>
  <c r="F138" i="12" s="1"/>
  <c r="S138" i="12"/>
  <c r="G138" i="12" l="1"/>
  <c r="H138" i="12"/>
  <c r="O139" i="12"/>
  <c r="T138" i="12"/>
  <c r="Q139" i="12" s="1"/>
  <c r="I138" i="12" l="1"/>
  <c r="R139" i="12"/>
  <c r="F139" i="12" s="1"/>
  <c r="S139" i="12"/>
  <c r="G139" i="12" l="1"/>
  <c r="H139" i="12"/>
  <c r="T139" i="12"/>
  <c r="Q140" i="12" s="1"/>
  <c r="O140" i="12"/>
  <c r="I139" i="12" l="1"/>
  <c r="R140" i="12"/>
  <c r="F140" i="12" s="1"/>
  <c r="S140" i="12"/>
  <c r="G140" i="12" l="1"/>
  <c r="H140" i="12"/>
  <c r="O141" i="12"/>
  <c r="T140" i="12"/>
  <c r="Q141" i="12" s="1"/>
  <c r="I140" i="12" l="1"/>
  <c r="R141" i="12"/>
  <c r="F141" i="12" s="1"/>
  <c r="S141" i="12"/>
  <c r="G141" i="12" l="1"/>
  <c r="H141" i="12"/>
  <c r="T141" i="12"/>
  <c r="Q142" i="12" s="1"/>
  <c r="O142" i="12"/>
  <c r="I141" i="12" l="1"/>
  <c r="R142" i="12"/>
  <c r="F142" i="12" s="1"/>
  <c r="S142" i="12"/>
  <c r="G142" i="12" l="1"/>
  <c r="H142" i="12"/>
  <c r="O143" i="12"/>
  <c r="T142" i="12"/>
  <c r="Q143" i="12" s="1"/>
  <c r="I142" i="12" l="1"/>
  <c r="R143" i="12"/>
  <c r="F143" i="12" s="1"/>
  <c r="S143" i="12"/>
  <c r="G143" i="12" l="1"/>
  <c r="H143" i="12"/>
  <c r="O144" i="12"/>
  <c r="T143" i="12"/>
  <c r="Q144" i="12" s="1"/>
  <c r="I143" i="12" l="1"/>
  <c r="R144" i="12"/>
  <c r="F144" i="12" s="1"/>
  <c r="S144" i="12"/>
  <c r="G144" i="12" l="1"/>
  <c r="H144" i="12"/>
  <c r="T144" i="12"/>
  <c r="Q145" i="12" s="1"/>
  <c r="O145" i="12"/>
  <c r="I144" i="12" l="1"/>
  <c r="R145" i="12"/>
  <c r="F145" i="12" s="1"/>
  <c r="S145" i="12"/>
  <c r="G145" i="12" l="1"/>
  <c r="H145" i="12"/>
  <c r="T145" i="12"/>
  <c r="Q146" i="12" s="1"/>
  <c r="O146" i="12"/>
  <c r="I145" i="12" l="1"/>
  <c r="R146" i="12"/>
  <c r="F146" i="12" s="1"/>
  <c r="S146" i="12"/>
  <c r="G146" i="12" l="1"/>
  <c r="H146" i="12"/>
  <c r="T146" i="12"/>
  <c r="Q147" i="12" s="1"/>
  <c r="O147" i="12"/>
  <c r="I146" i="12" l="1"/>
  <c r="R147" i="12"/>
  <c r="F147" i="12" s="1"/>
  <c r="S147" i="12"/>
  <c r="G147" i="12" l="1"/>
  <c r="H147" i="12"/>
  <c r="O148" i="12"/>
  <c r="T147" i="12"/>
  <c r="Q148" i="12" s="1"/>
  <c r="I147" i="12" l="1"/>
  <c r="R148" i="12"/>
  <c r="F148" i="12" s="1"/>
  <c r="S148" i="12"/>
  <c r="G148" i="12" l="1"/>
  <c r="H148" i="12"/>
  <c r="T148" i="12"/>
  <c r="Q149" i="12" s="1"/>
  <c r="O149" i="12"/>
  <c r="I148" i="12" l="1"/>
  <c r="R149" i="12"/>
  <c r="F149" i="12" s="1"/>
  <c r="S149" i="12"/>
  <c r="G149" i="12" l="1"/>
  <c r="H149" i="12"/>
  <c r="T149" i="12"/>
  <c r="Q150" i="12" s="1"/>
  <c r="O150" i="12"/>
  <c r="I149" i="12" l="1"/>
  <c r="R150" i="12"/>
  <c r="F150" i="12" s="1"/>
  <c r="S150" i="12"/>
  <c r="G150" i="12" l="1"/>
  <c r="H150" i="12"/>
  <c r="T150" i="12"/>
  <c r="Q151" i="12" s="1"/>
  <c r="O151" i="12"/>
  <c r="I150" i="12" l="1"/>
  <c r="R151" i="12"/>
  <c r="F151" i="12" s="1"/>
  <c r="H151" i="12" s="1"/>
  <c r="S151" i="12"/>
  <c r="G151" i="12" l="1"/>
  <c r="I151" i="12" s="1"/>
  <c r="T151" i="12"/>
  <c r="Q152" i="12" s="1"/>
  <c r="O152" i="12"/>
  <c r="R152" i="12" l="1"/>
  <c r="F152" i="12" s="1"/>
  <c r="S152" i="12"/>
  <c r="G152" i="12" l="1"/>
  <c r="H152" i="12"/>
  <c r="T152" i="12"/>
  <c r="Q153" i="12" s="1"/>
  <c r="O153" i="12"/>
  <c r="I152" i="12" l="1"/>
  <c r="R153" i="12"/>
  <c r="F153" i="12" s="1"/>
  <c r="S153" i="12"/>
  <c r="G153" i="12" l="1"/>
  <c r="H153" i="12"/>
  <c r="T153" i="12"/>
  <c r="Q154" i="12" s="1"/>
  <c r="O154" i="12"/>
  <c r="I153" i="12" l="1"/>
  <c r="R154" i="12"/>
  <c r="F154" i="12" s="1"/>
  <c r="S154" i="12"/>
  <c r="G154" i="12" l="1"/>
  <c r="H154" i="12"/>
  <c r="T154" i="12"/>
  <c r="Q155" i="12" s="1"/>
  <c r="O155" i="12"/>
  <c r="I154" i="12" l="1"/>
  <c r="R155" i="12"/>
  <c r="F155" i="12" s="1"/>
  <c r="S155" i="12"/>
  <c r="G155" i="12" l="1"/>
  <c r="H155" i="12"/>
  <c r="T155" i="12"/>
  <c r="Q156" i="12" s="1"/>
  <c r="O156" i="12"/>
  <c r="I155" i="12" l="1"/>
  <c r="R156" i="12"/>
  <c r="F156" i="12" s="1"/>
  <c r="S156" i="12"/>
  <c r="G156" i="12" l="1"/>
  <c r="H156" i="12"/>
  <c r="T156" i="12"/>
  <c r="Q157" i="12" s="1"/>
  <c r="O157" i="12"/>
  <c r="I156" i="12" l="1"/>
  <c r="R157" i="12"/>
  <c r="F157" i="12" s="1"/>
  <c r="H157" i="12" s="1"/>
  <c r="S157" i="12"/>
  <c r="G157" i="12" l="1"/>
  <c r="I157" i="12" s="1"/>
  <c r="T157" i="12"/>
  <c r="Q158" i="12" s="1"/>
  <c r="O158" i="12"/>
  <c r="R158" i="12" l="1"/>
  <c r="F158" i="12" s="1"/>
  <c r="H158" i="12" s="1"/>
  <c r="S158" i="12"/>
  <c r="G158" i="12" l="1"/>
  <c r="I158" i="12" s="1"/>
  <c r="T158" i="12"/>
  <c r="Q159" i="12" s="1"/>
  <c r="O159" i="12"/>
  <c r="R159" i="12" l="1"/>
  <c r="F159" i="12" s="1"/>
  <c r="S159" i="12"/>
  <c r="G159" i="12" l="1"/>
  <c r="H159" i="12"/>
  <c r="O160" i="12"/>
  <c r="T159" i="12"/>
  <c r="Q160" i="12" s="1"/>
  <c r="I159" i="12" l="1"/>
  <c r="R160" i="12"/>
  <c r="F160" i="12" s="1"/>
  <c r="H160" i="12" s="1"/>
  <c r="S160" i="12"/>
  <c r="G160" i="12" l="1"/>
  <c r="I160" i="12" s="1"/>
  <c r="O161" i="12"/>
  <c r="T160" i="12"/>
  <c r="Q161" i="12" s="1"/>
  <c r="R161" i="12" l="1"/>
  <c r="F161" i="12" s="1"/>
  <c r="S161" i="12"/>
  <c r="T161" i="12" l="1"/>
  <c r="G163" i="12"/>
  <c r="H163" i="12"/>
  <c r="I161" i="12" l="1"/>
  <c r="I163" i="12" s="1"/>
  <c r="G12" i="12" s="1"/>
  <c r="G14" i="12" s="1"/>
  <c r="G15" i="12" s="1"/>
</calcChain>
</file>

<file path=xl/sharedStrings.xml><?xml version="1.0" encoding="utf-8"?>
<sst xmlns="http://schemas.openxmlformats.org/spreadsheetml/2006/main" count="357" uniqueCount="239">
  <si>
    <t>매수내역</t>
    <phoneticPr fontId="3" type="noConversion"/>
  </si>
  <si>
    <t>투자수익률</t>
    <phoneticPr fontId="3" type="noConversion"/>
  </si>
  <si>
    <t>세후수익률</t>
    <phoneticPr fontId="3" type="noConversion"/>
  </si>
  <si>
    <t>은행환산수익률</t>
    <phoneticPr fontId="3" type="noConversion"/>
  </si>
  <si>
    <t>채권권면액</t>
    <phoneticPr fontId="3" type="noConversion"/>
  </si>
  <si>
    <t>투자일수</t>
    <phoneticPr fontId="3" type="noConversion"/>
  </si>
  <si>
    <t>만기시 세전금액</t>
    <phoneticPr fontId="3" type="noConversion"/>
  </si>
  <si>
    <t>매수금리(YTM)</t>
    <phoneticPr fontId="3" type="noConversion"/>
  </si>
  <si>
    <t>결제일</t>
    <phoneticPr fontId="3" type="noConversion"/>
  </si>
  <si>
    <t>경과이자</t>
    <phoneticPr fontId="3" type="noConversion"/>
  </si>
  <si>
    <t>만기시 세후금액</t>
    <phoneticPr fontId="3" type="noConversion"/>
  </si>
  <si>
    <t>경과일</t>
    <phoneticPr fontId="3" type="noConversion"/>
  </si>
  <si>
    <t>세전수익률</t>
    <phoneticPr fontId="3" type="noConversion"/>
  </si>
  <si>
    <t>시작일자</t>
    <phoneticPr fontId="3" type="noConversion"/>
  </si>
  <si>
    <t>이자</t>
    <phoneticPr fontId="3" type="noConversion"/>
  </si>
  <si>
    <t>소득세</t>
    <phoneticPr fontId="3" type="noConversion"/>
  </si>
  <si>
    <t>주민세</t>
    <phoneticPr fontId="3" type="noConversion"/>
  </si>
  <si>
    <t>세후수령액</t>
    <phoneticPr fontId="3" type="noConversion"/>
  </si>
  <si>
    <t>발행일</t>
  </si>
  <si>
    <t>만기일</t>
  </si>
  <si>
    <t>표면이율</t>
  </si>
  <si>
    <t>해외신용등급</t>
  </si>
  <si>
    <t>신탁계약일</t>
    <phoneticPr fontId="3" type="noConversion"/>
  </si>
  <si>
    <t>신탁만기일</t>
    <phoneticPr fontId="2" type="noConversion"/>
  </si>
  <si>
    <t>편입자산정보</t>
    <phoneticPr fontId="3" type="noConversion"/>
  </si>
  <si>
    <t>최근 이표일</t>
    <phoneticPr fontId="2" type="noConversion"/>
  </si>
  <si>
    <t>미국 30/360</t>
    <phoneticPr fontId="2" type="noConversion"/>
  </si>
  <si>
    <t>ACT/ACT</t>
    <phoneticPr fontId="2" type="noConversion"/>
  </si>
  <si>
    <t>ACT/360</t>
    <phoneticPr fontId="2" type="noConversion"/>
  </si>
  <si>
    <t>ACT/365</t>
    <phoneticPr fontId="2" type="noConversion"/>
  </si>
  <si>
    <t>유럽 30/360</t>
    <phoneticPr fontId="2" type="noConversion"/>
  </si>
  <si>
    <t>날짜계산 기준</t>
    <phoneticPr fontId="2" type="noConversion"/>
  </si>
  <si>
    <t>매수단가(clean)</t>
    <phoneticPr fontId="3" type="noConversion"/>
  </si>
  <si>
    <t>매수단가(dirty)</t>
    <phoneticPr fontId="3" type="noConversion"/>
  </si>
  <si>
    <t>이자지급 주기</t>
    <phoneticPr fontId="3" type="noConversion"/>
  </si>
  <si>
    <t>3개월</t>
    <phoneticPr fontId="2" type="noConversion"/>
  </si>
  <si>
    <t>6개월</t>
  </si>
  <si>
    <t>6개월</t>
    <phoneticPr fontId="2" type="noConversion"/>
  </si>
  <si>
    <t>12개월</t>
    <phoneticPr fontId="2" type="noConversion"/>
  </si>
  <si>
    <t>수탁통화</t>
    <phoneticPr fontId="2" type="noConversion"/>
  </si>
  <si>
    <t>신탁원금</t>
    <phoneticPr fontId="3" type="noConversion"/>
  </si>
  <si>
    <t>채권 매수금액</t>
    <phoneticPr fontId="3" type="noConversion"/>
  </si>
  <si>
    <t>선취보수율</t>
    <phoneticPr fontId="3" type="noConversion"/>
  </si>
  <si>
    <t>후취보수율</t>
    <phoneticPr fontId="3" type="noConversion"/>
  </si>
  <si>
    <t>현금잔액</t>
    <phoneticPr fontId="3" type="noConversion"/>
  </si>
  <si>
    <t>선취금액</t>
    <phoneticPr fontId="3" type="noConversion"/>
  </si>
  <si>
    <t>과세소득</t>
    <phoneticPr fontId="3" type="noConversion"/>
  </si>
  <si>
    <t>과세표준</t>
    <phoneticPr fontId="2" type="noConversion"/>
  </si>
  <si>
    <t>차감가능선취</t>
    <phoneticPr fontId="2" type="noConversion"/>
  </si>
  <si>
    <t>잔존선취</t>
    <phoneticPr fontId="2" type="noConversion"/>
  </si>
  <si>
    <t>차감가능후취</t>
    <phoneticPr fontId="2" type="noConversion"/>
  </si>
  <si>
    <t>잔존후취</t>
    <phoneticPr fontId="2" type="noConversion"/>
  </si>
  <si>
    <t>차감비용계</t>
    <phoneticPr fontId="2" type="noConversion"/>
  </si>
  <si>
    <t>기별 후취</t>
    <phoneticPr fontId="2" type="noConversion"/>
  </si>
  <si>
    <t>1기 보수</t>
    <phoneticPr fontId="24" type="noConversion"/>
  </si>
  <si>
    <t>2기 보수</t>
  </si>
  <si>
    <t>3기 보수</t>
  </si>
  <si>
    <t>4기 보수</t>
  </si>
  <si>
    <t>5기 보수</t>
  </si>
  <si>
    <t>6기 보수</t>
  </si>
  <si>
    <t>7기 보수</t>
  </si>
  <si>
    <t>8기 보수</t>
  </si>
  <si>
    <t>9기 보수</t>
  </si>
  <si>
    <t>10기 보수</t>
  </si>
  <si>
    <t>11기 보수</t>
  </si>
  <si>
    <t>12기 보수</t>
  </si>
  <si>
    <t>13기 보수</t>
  </si>
  <si>
    <t>14기 보수</t>
  </si>
  <si>
    <t>15기 보수</t>
  </si>
  <si>
    <t>16기 보수</t>
  </si>
  <si>
    <t>17기 보수</t>
  </si>
  <si>
    <t>18기 보수</t>
  </si>
  <si>
    <t>19기 보수</t>
  </si>
  <si>
    <t>20기 보수</t>
  </si>
  <si>
    <t>21기 보수</t>
  </si>
  <si>
    <t>22기 보수</t>
  </si>
  <si>
    <t>23기 보수</t>
  </si>
  <si>
    <t>24기 보수</t>
  </si>
  <si>
    <t>25기 보수</t>
  </si>
  <si>
    <t>26기 보수</t>
  </si>
  <si>
    <t>27기 보수</t>
  </si>
  <si>
    <t>28기 보수</t>
  </si>
  <si>
    <t>29기 보수</t>
  </si>
  <si>
    <t>30기 보수</t>
  </si>
  <si>
    <t>31기 보수</t>
  </si>
  <si>
    <t>32기 보수</t>
  </si>
  <si>
    <t>33기 보수</t>
  </si>
  <si>
    <t>34기 보수</t>
  </si>
  <si>
    <t>35기 보수</t>
  </si>
  <si>
    <t>36기 보수</t>
  </si>
  <si>
    <t>37기 보수</t>
  </si>
  <si>
    <t>38기 보수</t>
  </si>
  <si>
    <t>39기 보수</t>
  </si>
  <si>
    <t>40기 보수</t>
  </si>
  <si>
    <t>종목명</t>
    <phoneticPr fontId="2" type="noConversion"/>
  </si>
  <si>
    <t>마지막 후취보수</t>
    <phoneticPr fontId="2" type="noConversion"/>
  </si>
  <si>
    <t>미국 30/360</t>
  </si>
  <si>
    <t>KOROIL 0.875 10/05/25</t>
  </si>
  <si>
    <t>무디스: Aa2  / S&amp;P: AA</t>
    <phoneticPr fontId="2" type="noConversion"/>
  </si>
  <si>
    <t>원금</t>
    <phoneticPr fontId="3" type="noConversion"/>
  </si>
  <si>
    <t>합 계</t>
    <phoneticPr fontId="3" type="noConversion"/>
  </si>
  <si>
    <t>이자계산일</t>
    <phoneticPr fontId="3" type="noConversion"/>
  </si>
  <si>
    <t xml:space="preserve">  발행사 사정에 의해 원금의 전부 또는 상당부분을 손실할 수 있으며, 중도매매시 시장금리 등에 따라 원금손실이 발행할 수 있습니다</t>
    <phoneticPr fontId="2" type="noConversion"/>
  </si>
  <si>
    <t>- 본 자료는 내부직원에 대한 정보제공만을 목적으로 한 것으로서, 투자권유를 위한 광고물로 활용될 수 없고, 투자자에게 배포될 수 없습니다.</t>
    <phoneticPr fontId="15" type="noConversion"/>
  </si>
  <si>
    <t>- 상기 현금흐름은 단순계산에 의한 수익률이므로 실제 투자와 차이가 있을 수 있습니다.</t>
    <phoneticPr fontId="3" type="noConversion"/>
  </si>
  <si>
    <t xml:space="preserve">- 과세소득 등은 원화(KRW)로 산정되므로, 실제 과세소득과 세금, 세후수령액은 다를 수 있습니다. </t>
    <phoneticPr fontId="3" type="noConversion"/>
  </si>
  <si>
    <t xml:space="preserve">- 본 상품은 실적배당 상품으로 예금자보호법의 적용대상이 아닙니다. </t>
    <phoneticPr fontId="2" type="noConversion"/>
  </si>
  <si>
    <t>- 채권 시장수익률 변동에 따라 수익률이 변동될 수 있으며, 투자판단의 최종 책임은 투자자에게 있습니다.</t>
    <phoneticPr fontId="15" type="noConversion"/>
  </si>
  <si>
    <t>- 본 채권은 금융기관이 보증하는 것이 아니며, 정부가 사채의 가치를 보증 또는 승인한 것도 아니며,</t>
    <phoneticPr fontId="15" type="noConversion"/>
  </si>
  <si>
    <t xml:space="preserve">- 특정금전신탁에 편입된 증권의 만기시 해당 증권 발행인의 재무상황에 따라 원리금 상환이 지연될 수 있습니다. 이에 따라 신탁계약의 해지가 지연될 수 있습니다. </t>
    <phoneticPr fontId="2" type="noConversion"/>
  </si>
  <si>
    <t xml:space="preserve">- 본 상품에 투자하시기 전에 투자대상, 환매방법, 보수 등과 관련하여 반드시 신탁계약서 및 상품설명서 신용평가서 등의 내용을 확인하시기 바랍니다. </t>
    <phoneticPr fontId="2" type="noConversion"/>
  </si>
  <si>
    <t>- 채권 이자는 만기일에 일시 지급합니다.</t>
    <phoneticPr fontId="3" type="noConversion"/>
  </si>
  <si>
    <t>※ 본 자료는 참고용 자료로만 활용될 수 있으며, 불특정 다수에게 제공이 금지된 사내한 자료입니다.</t>
    <phoneticPr fontId="3" type="noConversion"/>
  </si>
  <si>
    <t>USD</t>
  </si>
  <si>
    <t>USD</t>
    <phoneticPr fontId="3" type="noConversion"/>
  </si>
  <si>
    <t>EUR</t>
    <phoneticPr fontId="3" type="noConversion"/>
  </si>
  <si>
    <t>CNY</t>
    <phoneticPr fontId="3" type="noConversion"/>
  </si>
  <si>
    <t>JPY</t>
    <phoneticPr fontId="3" type="noConversion"/>
  </si>
  <si>
    <t xml:space="preserve">- 본 자료는 참고용일 뿐 정확성이나 완전성을 보장할 수 없습니다. 따라서 어떠한 경우에도 고객의 투자 결과와 관련된 법적 책임 소재에 대한 증빙으로 사용될 수 없습니다.
</t>
    <phoneticPr fontId="2" type="noConversion"/>
  </si>
  <si>
    <t>날짜계산</t>
    <phoneticPr fontId="3" type="noConversion"/>
  </si>
  <si>
    <t>지급주기</t>
    <phoneticPr fontId="3" type="noConversion"/>
  </si>
  <si>
    <t>통화</t>
    <phoneticPr fontId="3" type="noConversion"/>
  </si>
  <si>
    <t>매수환율(예상)</t>
    <phoneticPr fontId="3" type="noConversion"/>
  </si>
  <si>
    <t>만기예상환율(예상)</t>
    <phoneticPr fontId="3" type="noConversion"/>
  </si>
  <si>
    <t>KRW</t>
    <phoneticPr fontId="2" type="noConversion"/>
  </si>
  <si>
    <t>거래통화</t>
    <phoneticPr fontId="2" type="noConversion"/>
  </si>
  <si>
    <t>기준환율</t>
    <phoneticPr fontId="2" type="noConversion"/>
  </si>
  <si>
    <t>소득자구분</t>
    <phoneticPr fontId="2" type="noConversion"/>
  </si>
  <si>
    <t>투자자구분</t>
  </si>
  <si>
    <t>개인</t>
  </si>
  <si>
    <t>일반법인</t>
  </si>
  <si>
    <t>금융법인</t>
  </si>
  <si>
    <t>결제금액</t>
    <phoneticPr fontId="3" type="noConversion"/>
  </si>
  <si>
    <t>매수가능금액</t>
    <phoneticPr fontId="3" type="noConversion"/>
  </si>
  <si>
    <t>경과이자(100$)</t>
    <phoneticPr fontId="3" type="noConversion"/>
  </si>
  <si>
    <t>KORELE 7.95 04/01/2096</t>
    <phoneticPr fontId="2" type="noConversion"/>
  </si>
  <si>
    <t>41기 보수</t>
  </si>
  <si>
    <t>42기 보수</t>
  </si>
  <si>
    <t>43기 보수</t>
  </si>
  <si>
    <t>44기 보수</t>
  </si>
  <si>
    <t>45기 보수</t>
  </si>
  <si>
    <t>46기 보수</t>
  </si>
  <si>
    <t>47기 보수</t>
  </si>
  <si>
    <t>48기 보수</t>
  </si>
  <si>
    <t>49기 보수</t>
  </si>
  <si>
    <t>50기 보수</t>
  </si>
  <si>
    <t>51기 보수</t>
  </si>
  <si>
    <t>52기 보수</t>
  </si>
  <si>
    <t>53기 보수</t>
  </si>
  <si>
    <t>54기 보수</t>
  </si>
  <si>
    <t>55기 보수</t>
  </si>
  <si>
    <t>56기 보수</t>
  </si>
  <si>
    <t>57기 보수</t>
  </si>
  <si>
    <t>58기 보수</t>
  </si>
  <si>
    <t>59기 보수</t>
  </si>
  <si>
    <t>60기 보수</t>
  </si>
  <si>
    <t>61기 보수</t>
  </si>
  <si>
    <t>62기 보수</t>
  </si>
  <si>
    <t>63기 보수</t>
  </si>
  <si>
    <t>64기 보수</t>
  </si>
  <si>
    <t>65기 보수</t>
  </si>
  <si>
    <t>66기 보수</t>
  </si>
  <si>
    <t>67기 보수</t>
  </si>
  <si>
    <t>68기 보수</t>
  </si>
  <si>
    <t>69기 보수</t>
  </si>
  <si>
    <t>70기 보수</t>
  </si>
  <si>
    <t>71기 보수</t>
  </si>
  <si>
    <t>72기 보수</t>
  </si>
  <si>
    <t>73기 보수</t>
  </si>
  <si>
    <t>74기 보수</t>
  </si>
  <si>
    <t>75기 보수</t>
  </si>
  <si>
    <t>76기 보수</t>
  </si>
  <si>
    <t>77기 보수</t>
  </si>
  <si>
    <t>78기 보수</t>
  </si>
  <si>
    <t>79기 보수</t>
  </si>
  <si>
    <t>80기 보수</t>
  </si>
  <si>
    <t>81기 보수</t>
  </si>
  <si>
    <t>82기 보수</t>
  </si>
  <si>
    <t>83기 보수</t>
  </si>
  <si>
    <t>84기 보수</t>
  </si>
  <si>
    <t>85기 보수</t>
  </si>
  <si>
    <t>86기 보수</t>
  </si>
  <si>
    <t>87기 보수</t>
  </si>
  <si>
    <t>88기 보수</t>
  </si>
  <si>
    <t>89기 보수</t>
  </si>
  <si>
    <t>90기 보수</t>
  </si>
  <si>
    <t>91기 보수</t>
  </si>
  <si>
    <t>92기 보수</t>
  </si>
  <si>
    <t>93기 보수</t>
  </si>
  <si>
    <t>94기 보수</t>
  </si>
  <si>
    <t>95기 보수</t>
  </si>
  <si>
    <t>96기 보수</t>
  </si>
  <si>
    <t>97기 보수</t>
  </si>
  <si>
    <t>98기 보수</t>
  </si>
  <si>
    <t>99기 보수</t>
  </si>
  <si>
    <t>100기 보수</t>
  </si>
  <si>
    <t>101기 보수</t>
  </si>
  <si>
    <t>102기 보수</t>
  </si>
  <si>
    <t>103기 보수</t>
  </si>
  <si>
    <t>104기 보수</t>
  </si>
  <si>
    <t>105기 보수</t>
  </si>
  <si>
    <t>106기 보수</t>
  </si>
  <si>
    <t>107기 보수</t>
  </si>
  <si>
    <t>108기 보수</t>
  </si>
  <si>
    <t>109기 보수</t>
  </si>
  <si>
    <t>110기 보수</t>
  </si>
  <si>
    <t>111기 보수</t>
  </si>
  <si>
    <t>112기 보수</t>
  </si>
  <si>
    <t>113기 보수</t>
  </si>
  <si>
    <t>114기 보수</t>
  </si>
  <si>
    <t>115기 보수</t>
  </si>
  <si>
    <t>116기 보수</t>
  </si>
  <si>
    <t>117기 보수</t>
  </si>
  <si>
    <t>118기 보수</t>
  </si>
  <si>
    <t>119기 보수</t>
  </si>
  <si>
    <t>120기 보수</t>
  </si>
  <si>
    <t>121기 보수</t>
  </si>
  <si>
    <t>122기 보수</t>
  </si>
  <si>
    <t>123기 보수</t>
  </si>
  <si>
    <t>124기 보수</t>
  </si>
  <si>
    <t>125기 보수</t>
  </si>
  <si>
    <t>126기 보수</t>
  </si>
  <si>
    <t>127기 보수</t>
  </si>
  <si>
    <t>128기 보수</t>
  </si>
  <si>
    <t>129기 보수</t>
  </si>
  <si>
    <t>130기 보수</t>
  </si>
  <si>
    <t>131기 보수</t>
  </si>
  <si>
    <t>132기 보수</t>
  </si>
  <si>
    <t>133기 보수</t>
  </si>
  <si>
    <t>134기 보수</t>
  </si>
  <si>
    <t>135기 보수</t>
  </si>
  <si>
    <t>136기 보수</t>
  </si>
  <si>
    <t>137기 보수</t>
  </si>
  <si>
    <t>138기 보수</t>
  </si>
  <si>
    <t>139기 보수</t>
  </si>
  <si>
    <t>140기 보수</t>
  </si>
  <si>
    <t>141기 보수</t>
  </si>
  <si>
    <t>142기 보수</t>
  </si>
  <si>
    <t>143기 보수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</si>
</sst>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-* #,##0_-;\-* #,##0_-;_-* &quot;-&quot;_-;_-@_-"/>
    <numFmt numFmtId="43" formatCode="_-* #,##0.00_-;\-* #,##0.00_-;_-* &quot;-&quot;??_-;_-@_-"/>
    <numFmt numFmtId="176" formatCode="0.000%"/>
    <numFmt numFmtId="177" formatCode="#,##0_);[Red]\(#,##0\)"/>
    <numFmt numFmtId="178" formatCode="#,##0.00_ "/>
    <numFmt numFmtId="179" formatCode="#,##0.00_);[Red]\(#,##0.00\)"/>
    <numFmt numFmtId="180" formatCode="#,##0_ "/>
    <numFmt numFmtId="181" formatCode="0.0000"/>
    <numFmt numFmtId="182" formatCode="0.000"/>
    <numFmt numFmtId="183" formatCode="#,##0.000000_);[Red]\(#,##0.000000\)"/>
    <numFmt numFmtId="184" formatCode="_-* #,##0.00_-;\-* #,##0.00_-;_-* &quot;-&quot;_-;_-@_-"/>
    <numFmt numFmtId="185" formatCode="#,##0.000_);[Red]\(#,##0.000\)"/>
    <numFmt numFmtId="186" formatCode="_-* #,##0_-;\-* #,##0_-;_-* &quot;-&quot;??_-;_-@_-"/>
    <numFmt numFmtId="187" formatCode="0.0000%"/>
    <numFmt numFmtId="188" formatCode="0.00000%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5"/>
      <name val="맑은 고딕"/>
      <family val="3"/>
      <charset val="129"/>
      <scheme val="minor"/>
    </font>
    <font>
      <sz val="9"/>
      <name val="돋움"/>
      <family val="3"/>
      <charset val="129"/>
    </font>
    <font>
      <b/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8.5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8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8"/>
      <color rgb="FFC0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u/>
      <sz val="14"/>
      <name val="돋움"/>
      <family val="3"/>
      <charset val="129"/>
    </font>
    <font>
      <sz val="12"/>
      <name val="돋움"/>
      <family val="3"/>
      <charset val="129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color theme="1"/>
      <name val="바탕"/>
      <family val="1"/>
      <charset val="129"/>
    </font>
    <font>
      <sz val="8"/>
      <name val="Times New Roman"/>
      <family val="2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b/>
      <u/>
      <sz val="16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>
      <alignment vertical="center"/>
    </xf>
    <xf numFmtId="0" fontId="1" fillId="0" borderId="0"/>
    <xf numFmtId="41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14" fillId="0" borderId="0">
      <alignment vertical="center"/>
    </xf>
    <xf numFmtId="41" fontId="22" fillId="0" borderId="0" applyFont="0" applyFill="0" applyBorder="0" applyAlignment="0" applyProtection="0">
      <alignment vertical="center"/>
    </xf>
  </cellStyleXfs>
  <cellXfs count="145">
    <xf numFmtId="0" fontId="0" fillId="0" borderId="0" xfId="0">
      <alignment vertical="center"/>
    </xf>
    <xf numFmtId="0" fontId="4" fillId="0" borderId="0" xfId="1" applyFont="1" applyAlignment="1">
      <alignment vertical="center"/>
    </xf>
    <xf numFmtId="0" fontId="5" fillId="0" borderId="0" xfId="1" applyFont="1" applyBorder="1" applyAlignment="1">
      <alignment horizontal="center" vertical="center"/>
    </xf>
    <xf numFmtId="0" fontId="4" fillId="0" borderId="0" xfId="1" applyFont="1" applyBorder="1" applyAlignment="1">
      <alignment vertical="center"/>
    </xf>
    <xf numFmtId="41" fontId="4" fillId="0" borderId="0" xfId="2" applyFont="1" applyBorder="1" applyAlignment="1">
      <alignment vertical="center"/>
    </xf>
    <xf numFmtId="10" fontId="4" fillId="0" borderId="0" xfId="1" applyNumberFormat="1" applyFont="1" applyBorder="1" applyAlignment="1">
      <alignment vertical="center"/>
    </xf>
    <xf numFmtId="14" fontId="9" fillId="0" borderId="6" xfId="1" applyNumberFormat="1" applyFont="1" applyFill="1" applyBorder="1" applyAlignment="1">
      <alignment horizontal="center" vertical="center"/>
    </xf>
    <xf numFmtId="179" fontId="9" fillId="0" borderId="6" xfId="1" applyNumberFormat="1" applyFont="1" applyFill="1" applyBorder="1" applyAlignment="1">
      <alignment vertical="center"/>
    </xf>
    <xf numFmtId="179" fontId="9" fillId="0" borderId="6" xfId="2" applyNumberFormat="1" applyFont="1" applyBorder="1" applyAlignment="1">
      <alignment vertical="center"/>
    </xf>
    <xf numFmtId="179" fontId="9" fillId="0" borderId="6" xfId="2" applyNumberFormat="1" applyFont="1" applyFill="1" applyBorder="1" applyAlignment="1">
      <alignment vertical="center"/>
    </xf>
    <xf numFmtId="14" fontId="9" fillId="0" borderId="0" xfId="1" applyNumberFormat="1" applyFont="1" applyFill="1" applyBorder="1" applyAlignment="1">
      <alignment horizontal="center" vertical="center"/>
    </xf>
    <xf numFmtId="179" fontId="9" fillId="0" borderId="0" xfId="1" applyNumberFormat="1" applyFont="1" applyFill="1" applyBorder="1" applyAlignment="1">
      <alignment vertical="center"/>
    </xf>
    <xf numFmtId="179" fontId="9" fillId="0" borderId="0" xfId="2" applyNumberFormat="1" applyFont="1" applyBorder="1" applyAlignment="1">
      <alignment vertical="center"/>
    </xf>
    <xf numFmtId="179" fontId="9" fillId="0" borderId="0" xfId="2" applyNumberFormat="1" applyFont="1" applyFill="1" applyBorder="1" applyAlignment="1">
      <alignment vertical="center"/>
    </xf>
    <xf numFmtId="179" fontId="7" fillId="3" borderId="2" xfId="1" applyNumberFormat="1" applyFont="1" applyFill="1" applyBorder="1" applyAlignment="1">
      <alignment horizontal="right" vertical="center"/>
    </xf>
    <xf numFmtId="0" fontId="13" fillId="0" borderId="0" xfId="1" applyFont="1" applyAlignment="1">
      <alignment vertical="center"/>
    </xf>
    <xf numFmtId="0" fontId="10" fillId="0" borderId="0" xfId="4" applyFont="1" applyBorder="1" applyAlignment="1">
      <alignment horizontal="center" vertical="center"/>
    </xf>
    <xf numFmtId="0" fontId="10" fillId="0" borderId="0" xfId="4" applyFont="1" applyAlignment="1">
      <alignment horizontal="center" vertical="center"/>
    </xf>
    <xf numFmtId="0" fontId="17" fillId="0" borderId="0" xfId="4" applyFont="1" applyBorder="1" applyAlignment="1">
      <alignment horizontal="center" vertical="center"/>
    </xf>
    <xf numFmtId="0" fontId="17" fillId="0" borderId="0" xfId="4" applyFont="1" applyAlignment="1">
      <alignment horizontal="center" vertical="center"/>
    </xf>
    <xf numFmtId="0" fontId="16" fillId="0" borderId="0" xfId="4" applyFont="1" applyBorder="1" applyAlignment="1">
      <alignment vertical="center" wrapText="1"/>
    </xf>
    <xf numFmtId="0" fontId="7" fillId="2" borderId="2" xfId="1" applyFont="1" applyFill="1" applyBorder="1" applyAlignment="1">
      <alignment horizontal="center" vertical="center"/>
    </xf>
    <xf numFmtId="10" fontId="7" fillId="0" borderId="2" xfId="3" applyNumberFormat="1" applyFont="1" applyFill="1" applyBorder="1" applyAlignment="1">
      <alignment horizontal="center" vertical="center"/>
    </xf>
    <xf numFmtId="14" fontId="4" fillId="0" borderId="0" xfId="2" applyNumberFormat="1" applyFont="1" applyBorder="1" applyAlignment="1">
      <alignment vertical="center"/>
    </xf>
    <xf numFmtId="180" fontId="9" fillId="0" borderId="0" xfId="2" applyNumberFormat="1" applyFont="1" applyBorder="1" applyAlignment="1">
      <alignment horizontal="center" vertical="center"/>
    </xf>
    <xf numFmtId="0" fontId="7" fillId="0" borderId="0" xfId="1" applyFont="1" applyFill="1" applyBorder="1" applyAlignment="1">
      <alignment horizontal="center" vertical="center"/>
    </xf>
    <xf numFmtId="179" fontId="7" fillId="0" borderId="0" xfId="2" applyNumberFormat="1" applyFont="1" applyFill="1" applyBorder="1" applyAlignment="1">
      <alignment horizontal="center" vertical="center"/>
    </xf>
    <xf numFmtId="10" fontId="7" fillId="0" borderId="0" xfId="3" applyNumberFormat="1" applyFont="1" applyFill="1" applyBorder="1" applyAlignment="1">
      <alignment horizontal="center" vertical="center"/>
    </xf>
    <xf numFmtId="0" fontId="20" fillId="0" borderId="0" xfId="4" applyFont="1" applyBorder="1" applyAlignment="1">
      <alignment horizontal="center" vertical="center"/>
    </xf>
    <xf numFmtId="0" fontId="20" fillId="0" borderId="0" xfId="4" applyFont="1" applyAlignment="1">
      <alignment horizontal="center" vertical="center"/>
    </xf>
    <xf numFmtId="181" fontId="20" fillId="0" borderId="0" xfId="4" applyNumberFormat="1" applyFont="1" applyAlignment="1">
      <alignment horizontal="center" vertical="center"/>
    </xf>
    <xf numFmtId="182" fontId="20" fillId="0" borderId="0" xfId="4" applyNumberFormat="1" applyFont="1" applyAlignment="1">
      <alignment horizontal="center" vertical="center"/>
    </xf>
    <xf numFmtId="0" fontId="21" fillId="0" borderId="0" xfId="4" applyFont="1" applyBorder="1" applyAlignment="1">
      <alignment horizontal="center" vertical="center"/>
    </xf>
    <xf numFmtId="0" fontId="21" fillId="0" borderId="0" xfId="4" applyFont="1" applyAlignment="1">
      <alignment horizontal="center" vertical="center"/>
    </xf>
    <xf numFmtId="183" fontId="7" fillId="0" borderId="2" xfId="1" applyNumberFormat="1" applyFont="1" applyFill="1" applyBorder="1" applyAlignment="1">
      <alignment horizontal="center" vertical="center"/>
    </xf>
    <xf numFmtId="0" fontId="4" fillId="0" borderId="0" xfId="1" quotePrefix="1" applyFont="1" applyAlignment="1">
      <alignment vertical="center"/>
    </xf>
    <xf numFmtId="177" fontId="12" fillId="0" borderId="2" xfId="5" applyNumberFormat="1" applyFont="1" applyFill="1" applyBorder="1" applyAlignment="1">
      <alignment horizontal="center" vertical="center"/>
    </xf>
    <xf numFmtId="41" fontId="4" fillId="0" borderId="0" xfId="2" quotePrefix="1" applyFont="1" applyBorder="1" applyAlignment="1">
      <alignment vertical="center"/>
    </xf>
    <xf numFmtId="184" fontId="4" fillId="0" borderId="0" xfId="5" applyNumberFormat="1" applyFont="1" applyAlignment="1">
      <alignment vertical="center"/>
    </xf>
    <xf numFmtId="0" fontId="11" fillId="0" borderId="0" xfId="1" applyFont="1" applyFill="1" applyBorder="1" applyAlignment="1">
      <alignment horizontal="left" vertical="center" wrapText="1"/>
    </xf>
    <xf numFmtId="43" fontId="23" fillId="0" borderId="2" xfId="0" applyNumberFormat="1" applyFont="1" applyBorder="1" applyAlignment="1">
      <alignment horizontal="center" vertical="center"/>
    </xf>
    <xf numFmtId="0" fontId="7" fillId="0" borderId="0" xfId="1" applyFont="1" applyBorder="1" applyAlignment="1">
      <alignment horizontal="right" vertical="center"/>
    </xf>
    <xf numFmtId="0" fontId="19" fillId="4" borderId="0" xfId="0" applyFont="1" applyFill="1" applyBorder="1">
      <alignment vertical="center"/>
    </xf>
    <xf numFmtId="0" fontId="7" fillId="0" borderId="0" xfId="1" applyFont="1" applyFill="1" applyBorder="1" applyAlignment="1">
      <alignment vertical="center"/>
    </xf>
    <xf numFmtId="0" fontId="19" fillId="0" borderId="0" xfId="0" applyFont="1" applyFill="1" applyBorder="1">
      <alignment vertical="center"/>
    </xf>
    <xf numFmtId="0" fontId="4" fillId="0" borderId="0" xfId="1" applyFont="1" applyFill="1" applyBorder="1" applyAlignment="1">
      <alignment vertical="center"/>
    </xf>
    <xf numFmtId="41" fontId="4" fillId="0" borderId="0" xfId="2" applyFont="1" applyFill="1" applyBorder="1" applyAlignment="1">
      <alignment vertical="center"/>
    </xf>
    <xf numFmtId="179" fontId="7" fillId="0" borderId="0" xfId="1" applyNumberFormat="1" applyFont="1" applyFill="1" applyBorder="1" applyAlignment="1">
      <alignment horizontal="right" vertical="center"/>
    </xf>
    <xf numFmtId="0" fontId="20" fillId="0" borderId="0" xfId="4" applyFont="1" applyFill="1" applyBorder="1" applyAlignment="1">
      <alignment horizontal="center" vertical="center"/>
    </xf>
    <xf numFmtId="0" fontId="21" fillId="0" borderId="0" xfId="4" applyFont="1" applyFill="1" applyBorder="1" applyAlignment="1">
      <alignment horizontal="center" vertical="center"/>
    </xf>
    <xf numFmtId="0" fontId="4" fillId="0" borderId="0" xfId="1" applyFont="1" applyFill="1" applyAlignment="1">
      <alignment vertical="center"/>
    </xf>
    <xf numFmtId="0" fontId="4" fillId="0" borderId="0" xfId="1" quotePrefix="1" applyFont="1" applyFill="1" applyBorder="1" applyAlignment="1">
      <alignment vertical="center"/>
    </xf>
    <xf numFmtId="41" fontId="4" fillId="0" borderId="0" xfId="5" quotePrefix="1" applyFont="1" applyFill="1" applyBorder="1" applyAlignment="1">
      <alignment vertical="center"/>
    </xf>
    <xf numFmtId="0" fontId="11" fillId="0" borderId="0" xfId="1" applyFont="1" applyFill="1" applyBorder="1" applyAlignment="1">
      <alignment vertical="center" wrapText="1"/>
    </xf>
    <xf numFmtId="179" fontId="4" fillId="0" borderId="0" xfId="1" applyNumberFormat="1" applyFont="1" applyAlignment="1">
      <alignment vertical="center"/>
    </xf>
    <xf numFmtId="0" fontId="8" fillId="5" borderId="0" xfId="1" applyFont="1" applyFill="1" applyBorder="1" applyAlignment="1">
      <alignment horizontal="center" vertical="center"/>
    </xf>
    <xf numFmtId="180" fontId="9" fillId="0" borderId="2" xfId="2" applyNumberFormat="1" applyFont="1" applyFill="1" applyBorder="1" applyAlignment="1">
      <alignment horizontal="center" vertical="center"/>
    </xf>
    <xf numFmtId="185" fontId="11" fillId="0" borderId="0" xfId="1" applyNumberFormat="1" applyFont="1" applyFill="1" applyBorder="1" applyAlignment="1">
      <alignment horizontal="left" vertical="center" wrapText="1"/>
    </xf>
    <xf numFmtId="0" fontId="10" fillId="0" borderId="0" xfId="4" applyFont="1" applyFill="1" applyBorder="1" applyAlignment="1">
      <alignment horizontal="center" vertical="center"/>
    </xf>
    <xf numFmtId="0" fontId="26" fillId="0" borderId="0" xfId="4" quotePrefix="1" applyFont="1" applyBorder="1" applyAlignment="1">
      <alignment horizontal="left" vertical="center"/>
    </xf>
    <xf numFmtId="0" fontId="4" fillId="0" borderId="7" xfId="1" applyFont="1" applyBorder="1" applyAlignment="1">
      <alignment vertical="center"/>
    </xf>
    <xf numFmtId="0" fontId="4" fillId="0" borderId="9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5" fillId="0" borderId="11" xfId="1" applyFont="1" applyBorder="1" applyAlignment="1">
      <alignment horizontal="center" vertical="center"/>
    </xf>
    <xf numFmtId="0" fontId="11" fillId="0" borderId="11" xfId="1" applyFont="1" applyFill="1" applyBorder="1" applyAlignment="1">
      <alignment vertical="center" wrapText="1"/>
    </xf>
    <xf numFmtId="0" fontId="11" fillId="0" borderId="11" xfId="1" applyFont="1" applyFill="1" applyBorder="1" applyAlignment="1">
      <alignment horizontal="left" vertical="center" wrapText="1"/>
    </xf>
    <xf numFmtId="0" fontId="4" fillId="0" borderId="11" xfId="1" applyFont="1" applyFill="1" applyBorder="1" applyAlignment="1">
      <alignment vertical="center"/>
    </xf>
    <xf numFmtId="0" fontId="7" fillId="3" borderId="2" xfId="1" applyFont="1" applyFill="1" applyBorder="1" applyAlignment="1">
      <alignment horizontal="center" vertical="center"/>
    </xf>
    <xf numFmtId="0" fontId="10" fillId="0" borderId="11" xfId="4" applyFont="1" applyBorder="1" applyAlignment="1">
      <alignment horizontal="center" vertical="center"/>
    </xf>
    <xf numFmtId="0" fontId="17" fillId="0" borderId="11" xfId="4" applyFont="1" applyBorder="1" applyAlignment="1">
      <alignment horizontal="center" vertical="center"/>
    </xf>
    <xf numFmtId="0" fontId="4" fillId="0" borderId="11" xfId="1" applyFont="1" applyBorder="1" applyAlignment="1">
      <alignment vertical="center"/>
    </xf>
    <xf numFmtId="0" fontId="4" fillId="0" borderId="13" xfId="1" applyFont="1" applyBorder="1" applyAlignment="1">
      <alignment vertical="center"/>
    </xf>
    <xf numFmtId="0" fontId="4" fillId="0" borderId="14" xfId="1" applyFont="1" applyBorder="1" applyAlignment="1">
      <alignment vertical="center"/>
    </xf>
    <xf numFmtId="14" fontId="9" fillId="0" borderId="0" xfId="1" applyNumberFormat="1" applyFont="1" applyBorder="1" applyAlignment="1">
      <alignment horizontal="center" vertical="center"/>
    </xf>
    <xf numFmtId="0" fontId="26" fillId="0" borderId="0" xfId="1" quotePrefix="1" applyFont="1" applyBorder="1" applyAlignment="1">
      <alignment vertical="center"/>
    </xf>
    <xf numFmtId="0" fontId="4" fillId="0" borderId="0" xfId="1" quotePrefix="1" applyFont="1" applyBorder="1" applyAlignment="1">
      <alignment vertical="center"/>
    </xf>
    <xf numFmtId="0" fontId="4" fillId="0" borderId="0" xfId="4" quotePrefix="1" applyFont="1" applyBorder="1" applyAlignment="1">
      <alignment horizontal="left" vertical="center"/>
    </xf>
    <xf numFmtId="0" fontId="4" fillId="0" borderId="0" xfId="4" applyFont="1" applyBorder="1" applyAlignment="1">
      <alignment horizontal="left" vertical="center"/>
    </xf>
    <xf numFmtId="0" fontId="4" fillId="0" borderId="0" xfId="1" applyFont="1" applyBorder="1" applyAlignment="1">
      <alignment horizontal="center" vertical="center"/>
    </xf>
    <xf numFmtId="0" fontId="7" fillId="0" borderId="10" xfId="1" applyFont="1" applyFill="1" applyBorder="1" applyAlignment="1">
      <alignment vertical="center"/>
    </xf>
    <xf numFmtId="0" fontId="18" fillId="0" borderId="0" xfId="1" applyFont="1" applyBorder="1" applyAlignment="1">
      <alignment vertical="center"/>
    </xf>
    <xf numFmtId="0" fontId="7" fillId="0" borderId="11" xfId="1" applyFont="1" applyFill="1" applyBorder="1" applyAlignment="1">
      <alignment vertical="center"/>
    </xf>
    <xf numFmtId="0" fontId="16" fillId="0" borderId="11" xfId="4" applyFont="1" applyBorder="1" applyAlignment="1">
      <alignment vertical="center" wrapText="1"/>
    </xf>
    <xf numFmtId="0" fontId="4" fillId="0" borderId="8" xfId="1" applyFont="1" applyBorder="1" applyAlignment="1">
      <alignment vertical="center"/>
    </xf>
    <xf numFmtId="0" fontId="25" fillId="0" borderId="7" xfId="1" applyFont="1" applyBorder="1" applyAlignment="1">
      <alignment vertical="center"/>
    </xf>
    <xf numFmtId="0" fontId="18" fillId="0" borderId="11" xfId="1" applyFont="1" applyBorder="1" applyAlignment="1">
      <alignment vertical="center"/>
    </xf>
    <xf numFmtId="43" fontId="4" fillId="0" borderId="11" xfId="1" applyNumberFormat="1" applyFont="1" applyFill="1" applyBorder="1" applyAlignment="1">
      <alignment vertical="center"/>
    </xf>
    <xf numFmtId="0" fontId="13" fillId="0" borderId="10" xfId="1" applyFont="1" applyBorder="1" applyAlignment="1">
      <alignment vertical="center"/>
    </xf>
    <xf numFmtId="0" fontId="10" fillId="0" borderId="10" xfId="4" applyFont="1" applyBorder="1" applyAlignment="1">
      <alignment horizontal="center" vertical="center"/>
    </xf>
    <xf numFmtId="0" fontId="17" fillId="0" borderId="10" xfId="4" applyFont="1" applyBorder="1" applyAlignment="1">
      <alignment horizontal="center" vertical="center"/>
    </xf>
    <xf numFmtId="0" fontId="4" fillId="0" borderId="5" xfId="1" applyFont="1" applyBorder="1" applyAlignment="1">
      <alignment vertical="center"/>
    </xf>
    <xf numFmtId="14" fontId="9" fillId="0" borderId="2" xfId="1" applyNumberFormat="1" applyFont="1" applyFill="1" applyBorder="1" applyAlignment="1">
      <alignment horizontal="center" vertical="center"/>
    </xf>
    <xf numFmtId="176" fontId="9" fillId="0" borderId="2" xfId="1" applyNumberFormat="1" applyFont="1" applyFill="1" applyBorder="1" applyAlignment="1">
      <alignment horizontal="center" vertical="center"/>
    </xf>
    <xf numFmtId="176" fontId="10" fillId="0" borderId="2" xfId="1" applyNumberFormat="1" applyFont="1" applyFill="1" applyBorder="1" applyAlignment="1">
      <alignment horizontal="center" vertical="center" wrapText="1"/>
    </xf>
    <xf numFmtId="0" fontId="9" fillId="0" borderId="2" xfId="1" applyNumberFormat="1" applyFont="1" applyFill="1" applyBorder="1" applyAlignment="1">
      <alignment horizontal="center" vertical="center"/>
    </xf>
    <xf numFmtId="14" fontId="7" fillId="0" borderId="12" xfId="1" applyNumberFormat="1" applyFont="1" applyFill="1" applyBorder="1" applyAlignment="1">
      <alignment horizontal="center" vertical="center"/>
    </xf>
    <xf numFmtId="186" fontId="27" fillId="7" borderId="16" xfId="0" applyNumberFormat="1" applyFont="1" applyFill="1" applyBorder="1" applyAlignment="1">
      <alignment horizontal="center" vertical="center"/>
    </xf>
    <xf numFmtId="43" fontId="27" fillId="7" borderId="15" xfId="0" applyNumberFormat="1" applyFont="1" applyFill="1" applyBorder="1" applyAlignment="1">
      <alignment horizontal="center" vertical="center"/>
    </xf>
    <xf numFmtId="179" fontId="7" fillId="0" borderId="2" xfId="2" applyNumberFormat="1" applyFont="1" applyFill="1" applyBorder="1" applyAlignment="1">
      <alignment horizontal="center" vertical="center"/>
    </xf>
    <xf numFmtId="179" fontId="9" fillId="0" borderId="2" xfId="2" applyNumberFormat="1" applyFont="1" applyFill="1" applyBorder="1" applyAlignment="1">
      <alignment horizontal="center" vertical="center"/>
    </xf>
    <xf numFmtId="184" fontId="4" fillId="0" borderId="2" xfId="5" applyNumberFormat="1" applyFont="1" applyFill="1" applyBorder="1" applyAlignment="1">
      <alignment vertical="center"/>
    </xf>
    <xf numFmtId="41" fontId="9" fillId="0" borderId="2" xfId="2" applyFont="1" applyFill="1" applyBorder="1" applyAlignment="1">
      <alignment vertical="center"/>
    </xf>
    <xf numFmtId="178" fontId="9" fillId="0" borderId="2" xfId="1" applyNumberFormat="1" applyFont="1" applyFill="1" applyBorder="1" applyAlignment="1">
      <alignment vertical="center"/>
    </xf>
    <xf numFmtId="0" fontId="9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center" vertical="center"/>
    </xf>
    <xf numFmtId="0" fontId="9" fillId="2" borderId="12" xfId="1" applyFont="1" applyFill="1" applyBorder="1" applyAlignment="1">
      <alignment horizontal="center" vertical="center"/>
    </xf>
    <xf numFmtId="14" fontId="9" fillId="2" borderId="2" xfId="1" applyNumberFormat="1" applyFont="1" applyFill="1" applyBorder="1" applyAlignment="1">
      <alignment horizontal="center" vertical="center"/>
    </xf>
    <xf numFmtId="0" fontId="20" fillId="2" borderId="2" xfId="1" applyFont="1" applyFill="1" applyBorder="1" applyAlignment="1">
      <alignment horizontal="center" vertical="center"/>
    </xf>
    <xf numFmtId="14" fontId="7" fillId="0" borderId="2" xfId="1" applyNumberFormat="1" applyFont="1" applyFill="1" applyBorder="1" applyAlignment="1">
      <alignment horizontal="center" vertical="center"/>
    </xf>
    <xf numFmtId="177" fontId="7" fillId="3" borderId="2" xfId="1" applyNumberFormat="1" applyFont="1" applyFill="1" applyBorder="1" applyAlignment="1">
      <alignment horizontal="center" vertical="center"/>
    </xf>
    <xf numFmtId="14" fontId="7" fillId="3" borderId="2" xfId="1" applyNumberFormat="1" applyFont="1" applyFill="1" applyBorder="1" applyAlignment="1">
      <alignment horizontal="center" vertical="center"/>
    </xf>
    <xf numFmtId="10" fontId="7" fillId="3" borderId="2" xfId="3" applyNumberFormat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17" xfId="1" applyFont="1" applyBorder="1" applyAlignment="1">
      <alignment vertical="center"/>
    </xf>
    <xf numFmtId="0" fontId="4" fillId="0" borderId="12" xfId="1" applyFont="1" applyBorder="1" applyAlignment="1">
      <alignment vertical="center"/>
    </xf>
    <xf numFmtId="187" fontId="12" fillId="3" borderId="2" xfId="1" applyNumberFormat="1" applyFont="1" applyFill="1" applyBorder="1" applyAlignment="1">
      <alignment horizontal="center" vertical="center"/>
    </xf>
    <xf numFmtId="184" fontId="9" fillId="0" borderId="6" xfId="5" applyNumberFormat="1" applyFont="1" applyFill="1" applyBorder="1" applyAlignment="1">
      <alignment horizontal="center" vertical="center"/>
    </xf>
    <xf numFmtId="14" fontId="4" fillId="0" borderId="0" xfId="1" applyNumberFormat="1" applyFont="1" applyFill="1" applyAlignment="1">
      <alignment vertical="center"/>
    </xf>
    <xf numFmtId="0" fontId="7" fillId="2" borderId="2" xfId="1" applyFont="1" applyFill="1" applyBorder="1" applyAlignment="1">
      <alignment horizontal="center" vertical="center"/>
    </xf>
    <xf numFmtId="41" fontId="7" fillId="0" borderId="2" xfId="5" applyFont="1" applyFill="1" applyBorder="1" applyAlignment="1">
      <alignment horizontal="center" vertical="center"/>
    </xf>
    <xf numFmtId="179" fontId="9" fillId="0" borderId="2" xfId="1" applyNumberFormat="1" applyFont="1" applyFill="1" applyBorder="1" applyAlignment="1">
      <alignment horizontal="center" vertical="center"/>
    </xf>
    <xf numFmtId="0" fontId="9" fillId="0" borderId="10" xfId="1" applyFont="1" applyFill="1" applyBorder="1" applyAlignment="1">
      <alignment vertical="center"/>
    </xf>
    <xf numFmtId="41" fontId="9" fillId="0" borderId="10" xfId="5" applyFont="1" applyFill="1" applyBorder="1" applyAlignment="1">
      <alignment vertical="center"/>
    </xf>
    <xf numFmtId="41" fontId="4" fillId="0" borderId="2" xfId="5" applyFont="1" applyFill="1" applyBorder="1" applyAlignment="1">
      <alignment vertical="center"/>
    </xf>
    <xf numFmtId="41" fontId="9" fillId="0" borderId="2" xfId="5" applyFont="1" applyFill="1" applyBorder="1" applyAlignment="1">
      <alignment vertical="center"/>
    </xf>
    <xf numFmtId="41" fontId="9" fillId="0" borderId="6" xfId="5" applyFont="1" applyFill="1" applyBorder="1" applyAlignment="1">
      <alignment vertical="center"/>
    </xf>
    <xf numFmtId="41" fontId="7" fillId="3" borderId="2" xfId="5" applyFont="1" applyFill="1" applyBorder="1" applyAlignment="1">
      <alignment horizontal="right" vertical="center"/>
    </xf>
    <xf numFmtId="43" fontId="27" fillId="0" borderId="0" xfId="0" applyNumberFormat="1" applyFont="1" applyFill="1" applyBorder="1" applyAlignment="1">
      <alignment horizontal="center" vertical="center"/>
    </xf>
    <xf numFmtId="186" fontId="27" fillId="0" borderId="0" xfId="0" applyNumberFormat="1" applyFont="1" applyFill="1" applyBorder="1" applyAlignment="1">
      <alignment horizontal="center" vertical="center"/>
    </xf>
    <xf numFmtId="183" fontId="9" fillId="0" borderId="2" xfId="1" applyNumberFormat="1" applyFont="1" applyFill="1" applyBorder="1" applyAlignment="1">
      <alignment horizontal="center" vertical="center"/>
    </xf>
    <xf numFmtId="41" fontId="9" fillId="0" borderId="6" xfId="5" applyNumberFormat="1" applyFont="1" applyFill="1" applyBorder="1" applyAlignment="1">
      <alignment vertical="center"/>
    </xf>
    <xf numFmtId="41" fontId="9" fillId="0" borderId="6" xfId="5" applyNumberFormat="1" applyFont="1" applyBorder="1" applyAlignment="1">
      <alignment vertical="center"/>
    </xf>
    <xf numFmtId="41" fontId="8" fillId="0" borderId="2" xfId="2" quotePrefix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43" fontId="7" fillId="0" borderId="0" xfId="1" applyNumberFormat="1" applyFont="1" applyFill="1" applyBorder="1" applyAlignment="1">
      <alignment vertical="center"/>
    </xf>
    <xf numFmtId="43" fontId="23" fillId="0" borderId="0" xfId="0" applyNumberFormat="1" applyFont="1" applyBorder="1" applyAlignment="1">
      <alignment horizontal="center" vertical="center"/>
    </xf>
    <xf numFmtId="177" fontId="9" fillId="0" borderId="6" xfId="5" applyNumberFormat="1" applyFont="1" applyFill="1" applyBorder="1" applyAlignment="1">
      <alignment vertical="center"/>
    </xf>
    <xf numFmtId="177" fontId="9" fillId="0" borderId="6" xfId="1" applyNumberFormat="1" applyFont="1" applyFill="1" applyBorder="1" applyAlignment="1">
      <alignment vertical="center"/>
    </xf>
    <xf numFmtId="188" fontId="12" fillId="7" borderId="2" xfId="1" applyNumberFormat="1" applyFont="1" applyFill="1" applyBorder="1" applyAlignment="1">
      <alignment horizontal="center" vertical="center"/>
    </xf>
    <xf numFmtId="0" fontId="28" fillId="0" borderId="0" xfId="1" applyFont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</cellXfs>
  <cellStyles count="6">
    <cellStyle name="백분율 6" xfId="3" xr:uid="{00000000-0005-0000-0000-000000000000}"/>
    <cellStyle name="쉼표 [0]" xfId="5" builtinId="6"/>
    <cellStyle name="쉼표 [0] 36" xfId="2" xr:uid="{00000000-0005-0000-0000-000002000000}"/>
    <cellStyle name="표준" xfId="0" builtinId="0"/>
    <cellStyle name="표준 13" xfId="4" xr:uid="{00000000-0005-0000-0000-000004000000}"/>
    <cellStyle name="표준_교보생명2-1 모의투자내역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</xdr:row>
      <xdr:rowOff>47625</xdr:rowOff>
    </xdr:from>
    <xdr:to>
      <xdr:col>8</xdr:col>
      <xdr:colOff>1085850</xdr:colOff>
      <xdr:row>1</xdr:row>
      <xdr:rowOff>342900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9020175" y="381000"/>
          <a:ext cx="981075" cy="29527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C00000"/>
              </a:solidFill>
            </a:rPr>
            <a:t>사 내 한</a:t>
          </a:r>
        </a:p>
      </xdr:txBody>
    </xdr:sp>
    <xdr:clientData/>
  </xdr:twoCellAnchor>
  <xdr:twoCellAnchor>
    <xdr:from>
      <xdr:col>21</xdr:col>
      <xdr:colOff>295275</xdr:colOff>
      <xdr:row>0</xdr:row>
      <xdr:rowOff>133350</xdr:rowOff>
    </xdr:from>
    <xdr:to>
      <xdr:col>25</xdr:col>
      <xdr:colOff>57150</xdr:colOff>
      <xdr:row>8</xdr:row>
      <xdr:rowOff>152400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706100" y="133350"/>
          <a:ext cx="2809875" cy="2505075"/>
        </a:xfrm>
        <a:prstGeom prst="rect">
          <a:avLst/>
        </a:prstGeom>
        <a:solidFill>
          <a:schemeClr val="lt1"/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/>
            <a:t>1.</a:t>
          </a:r>
          <a:r>
            <a:rPr lang="en-US" altLang="ko-KR" sz="1100" baseline="0"/>
            <a:t> </a:t>
          </a:r>
          <a:r>
            <a:rPr lang="ko-KR" altLang="en-US" sz="1100" baseline="0"/>
            <a:t>고객이 수탁하고자 하는 통화를 선택한다</a:t>
          </a:r>
          <a:r>
            <a:rPr lang="en-US" altLang="ko-KR" sz="1100" baseline="0"/>
            <a:t>.</a:t>
          </a:r>
        </a:p>
        <a:p>
          <a:r>
            <a:rPr lang="en-US" altLang="ko-KR" sz="1100" baseline="0"/>
            <a:t>   'C13'</a:t>
          </a:r>
          <a:r>
            <a:rPr lang="ko-KR" altLang="en-US" sz="1100" baseline="0"/>
            <a:t>셀을 선택하면 통화코드가 선택 가능함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2. </a:t>
          </a:r>
          <a:r>
            <a:rPr lang="ko-KR" altLang="en-US" sz="1100" baseline="0"/>
            <a:t>우측의 노란색 고객입금액을 입력한다</a:t>
          </a:r>
          <a:r>
            <a:rPr lang="en-US" altLang="ko-KR" sz="1100" baseline="0"/>
            <a:t>.</a:t>
          </a:r>
        </a:p>
        <a:p>
          <a:endParaRPr lang="en-US" altLang="ko-KR" sz="1100" baseline="0"/>
        </a:p>
        <a:p>
          <a:r>
            <a:rPr lang="en-US" altLang="ko-KR" sz="1100" baseline="0"/>
            <a:t>3. </a:t>
          </a:r>
          <a:r>
            <a:rPr lang="ko-KR" altLang="en-US" sz="1100" baseline="0"/>
            <a:t>당일의 매수금리 수준을 신탁운용팀에 확인한 후</a:t>
          </a:r>
          <a:endParaRPr lang="en-US" altLang="ko-KR" sz="1100" baseline="0"/>
        </a:p>
        <a:p>
          <a:r>
            <a:rPr lang="en-US" altLang="ko-KR" sz="1100" baseline="0"/>
            <a:t>    'E12'</a:t>
          </a:r>
          <a:r>
            <a:rPr lang="ko-KR" altLang="en-US" sz="1100" baseline="0"/>
            <a:t>셀에 매수금리를 입력하여 준다</a:t>
          </a:r>
          <a:r>
            <a:rPr lang="en-US" altLang="ko-KR" sz="1100" baseline="0"/>
            <a:t>.</a:t>
          </a:r>
        </a:p>
        <a:p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</xdr:row>
      <xdr:rowOff>47625</xdr:rowOff>
    </xdr:from>
    <xdr:to>
      <xdr:col>8</xdr:col>
      <xdr:colOff>1085850</xdr:colOff>
      <xdr:row>1</xdr:row>
      <xdr:rowOff>342900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782050" y="295275"/>
          <a:ext cx="981075" cy="29527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1100" b="1">
              <a:solidFill>
                <a:srgbClr val="C00000"/>
              </a:solidFill>
            </a:rPr>
            <a:t>사 내 한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287895</xdr:colOff>
      <xdr:row>36</xdr:row>
      <xdr:rowOff>3140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209550"/>
          <a:ext cx="15375495" cy="73373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27</xdr:col>
      <xdr:colOff>208638</xdr:colOff>
      <xdr:row>77</xdr:row>
      <xdr:rowOff>62924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172450"/>
          <a:ext cx="18039438" cy="80258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27</xdr:col>
      <xdr:colOff>170543</xdr:colOff>
      <xdr:row>104</xdr:row>
      <xdr:rowOff>6157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16764000"/>
          <a:ext cx="18001343" cy="50353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82"/>
  <sheetViews>
    <sheetView showGridLines="0" tabSelected="1" zoomScaleNormal="100" zoomScaleSheetLayoutView="90" workbookViewId="0">
      <selection activeCell="E13" sqref="E13"/>
    </sheetView>
  </sheetViews>
  <sheetFormatPr defaultColWidth="10" defaultRowHeight="13.5" x14ac:dyDescent="0.3"/>
  <cols>
    <col min="1" max="1" width="3.125" style="1" customWidth="1"/>
    <col min="2" max="3" width="17.875" style="1" customWidth="1"/>
    <col min="4" max="4" width="16.125" style="1" customWidth="1"/>
    <col min="5" max="5" width="15.5" style="1" customWidth="1"/>
    <col min="6" max="6" width="15.625" style="1" customWidth="1"/>
    <col min="7" max="7" width="16" style="1" customWidth="1"/>
    <col min="8" max="8" width="14.875" style="1" customWidth="1"/>
    <col min="9" max="9" width="15.75" style="1" customWidth="1"/>
    <col min="10" max="10" width="3.875" style="1" customWidth="1"/>
    <col min="11" max="11" width="4.125" style="1" customWidth="1"/>
    <col min="12" max="12" width="12.125" style="1" customWidth="1"/>
    <col min="13" max="13" width="12.125" style="50" customWidth="1"/>
    <col min="14" max="14" width="10.5" style="1" customWidth="1"/>
    <col min="15" max="20" width="14.625" style="1" customWidth="1"/>
    <col min="21" max="43" width="10" style="1" customWidth="1"/>
    <col min="44" max="258" width="10" style="1"/>
    <col min="259" max="264" width="17.875" style="1" customWidth="1"/>
    <col min="265" max="267" width="15.875" style="1" customWidth="1"/>
    <col min="268" max="514" width="10" style="1"/>
    <col min="515" max="520" width="17.875" style="1" customWidth="1"/>
    <col min="521" max="523" width="15.875" style="1" customWidth="1"/>
    <col min="524" max="770" width="10" style="1"/>
    <col min="771" max="776" width="17.875" style="1" customWidth="1"/>
    <col min="777" max="779" width="15.875" style="1" customWidth="1"/>
    <col min="780" max="1026" width="10" style="1"/>
    <col min="1027" max="1032" width="17.875" style="1" customWidth="1"/>
    <col min="1033" max="1035" width="15.875" style="1" customWidth="1"/>
    <col min="1036" max="1282" width="10" style="1"/>
    <col min="1283" max="1288" width="17.875" style="1" customWidth="1"/>
    <col min="1289" max="1291" width="15.875" style="1" customWidth="1"/>
    <col min="1292" max="1538" width="10" style="1"/>
    <col min="1539" max="1544" width="17.875" style="1" customWidth="1"/>
    <col min="1545" max="1547" width="15.875" style="1" customWidth="1"/>
    <col min="1548" max="1794" width="10" style="1"/>
    <col min="1795" max="1800" width="17.875" style="1" customWidth="1"/>
    <col min="1801" max="1803" width="15.875" style="1" customWidth="1"/>
    <col min="1804" max="2050" width="10" style="1"/>
    <col min="2051" max="2056" width="17.875" style="1" customWidth="1"/>
    <col min="2057" max="2059" width="15.875" style="1" customWidth="1"/>
    <col min="2060" max="2306" width="10" style="1"/>
    <col min="2307" max="2312" width="17.875" style="1" customWidth="1"/>
    <col min="2313" max="2315" width="15.875" style="1" customWidth="1"/>
    <col min="2316" max="2562" width="10" style="1"/>
    <col min="2563" max="2568" width="17.875" style="1" customWidth="1"/>
    <col min="2569" max="2571" width="15.875" style="1" customWidth="1"/>
    <col min="2572" max="2818" width="10" style="1"/>
    <col min="2819" max="2824" width="17.875" style="1" customWidth="1"/>
    <col min="2825" max="2827" width="15.875" style="1" customWidth="1"/>
    <col min="2828" max="3074" width="10" style="1"/>
    <col min="3075" max="3080" width="17.875" style="1" customWidth="1"/>
    <col min="3081" max="3083" width="15.875" style="1" customWidth="1"/>
    <col min="3084" max="3330" width="10" style="1"/>
    <col min="3331" max="3336" width="17.875" style="1" customWidth="1"/>
    <col min="3337" max="3339" width="15.875" style="1" customWidth="1"/>
    <col min="3340" max="3586" width="10" style="1"/>
    <col min="3587" max="3592" width="17.875" style="1" customWidth="1"/>
    <col min="3593" max="3595" width="15.875" style="1" customWidth="1"/>
    <col min="3596" max="3842" width="10" style="1"/>
    <col min="3843" max="3848" width="17.875" style="1" customWidth="1"/>
    <col min="3849" max="3851" width="15.875" style="1" customWidth="1"/>
    <col min="3852" max="4098" width="10" style="1"/>
    <col min="4099" max="4104" width="17.875" style="1" customWidth="1"/>
    <col min="4105" max="4107" width="15.875" style="1" customWidth="1"/>
    <col min="4108" max="4354" width="10" style="1"/>
    <col min="4355" max="4360" width="17.875" style="1" customWidth="1"/>
    <col min="4361" max="4363" width="15.875" style="1" customWidth="1"/>
    <col min="4364" max="4610" width="10" style="1"/>
    <col min="4611" max="4616" width="17.875" style="1" customWidth="1"/>
    <col min="4617" max="4619" width="15.875" style="1" customWidth="1"/>
    <col min="4620" max="4866" width="10" style="1"/>
    <col min="4867" max="4872" width="17.875" style="1" customWidth="1"/>
    <col min="4873" max="4875" width="15.875" style="1" customWidth="1"/>
    <col min="4876" max="5122" width="10" style="1"/>
    <col min="5123" max="5128" width="17.875" style="1" customWidth="1"/>
    <col min="5129" max="5131" width="15.875" style="1" customWidth="1"/>
    <col min="5132" max="5378" width="10" style="1"/>
    <col min="5379" max="5384" width="17.875" style="1" customWidth="1"/>
    <col min="5385" max="5387" width="15.875" style="1" customWidth="1"/>
    <col min="5388" max="5634" width="10" style="1"/>
    <col min="5635" max="5640" width="17.875" style="1" customWidth="1"/>
    <col min="5641" max="5643" width="15.875" style="1" customWidth="1"/>
    <col min="5644" max="5890" width="10" style="1"/>
    <col min="5891" max="5896" width="17.875" style="1" customWidth="1"/>
    <col min="5897" max="5899" width="15.875" style="1" customWidth="1"/>
    <col min="5900" max="6146" width="10" style="1"/>
    <col min="6147" max="6152" width="17.875" style="1" customWidth="1"/>
    <col min="6153" max="6155" width="15.875" style="1" customWidth="1"/>
    <col min="6156" max="6402" width="10" style="1"/>
    <col min="6403" max="6408" width="17.875" style="1" customWidth="1"/>
    <col min="6409" max="6411" width="15.875" style="1" customWidth="1"/>
    <col min="6412" max="6658" width="10" style="1"/>
    <col min="6659" max="6664" width="17.875" style="1" customWidth="1"/>
    <col min="6665" max="6667" width="15.875" style="1" customWidth="1"/>
    <col min="6668" max="6914" width="10" style="1"/>
    <col min="6915" max="6920" width="17.875" style="1" customWidth="1"/>
    <col min="6921" max="6923" width="15.875" style="1" customWidth="1"/>
    <col min="6924" max="7170" width="10" style="1"/>
    <col min="7171" max="7176" width="17.875" style="1" customWidth="1"/>
    <col min="7177" max="7179" width="15.875" style="1" customWidth="1"/>
    <col min="7180" max="7426" width="10" style="1"/>
    <col min="7427" max="7432" width="17.875" style="1" customWidth="1"/>
    <col min="7433" max="7435" width="15.875" style="1" customWidth="1"/>
    <col min="7436" max="7682" width="10" style="1"/>
    <col min="7683" max="7688" width="17.875" style="1" customWidth="1"/>
    <col min="7689" max="7691" width="15.875" style="1" customWidth="1"/>
    <col min="7692" max="7938" width="10" style="1"/>
    <col min="7939" max="7944" width="17.875" style="1" customWidth="1"/>
    <col min="7945" max="7947" width="15.875" style="1" customWidth="1"/>
    <col min="7948" max="8194" width="10" style="1"/>
    <col min="8195" max="8200" width="17.875" style="1" customWidth="1"/>
    <col min="8201" max="8203" width="15.875" style="1" customWidth="1"/>
    <col min="8204" max="8450" width="10" style="1"/>
    <col min="8451" max="8456" width="17.875" style="1" customWidth="1"/>
    <col min="8457" max="8459" width="15.875" style="1" customWidth="1"/>
    <col min="8460" max="8706" width="10" style="1"/>
    <col min="8707" max="8712" width="17.875" style="1" customWidth="1"/>
    <col min="8713" max="8715" width="15.875" style="1" customWidth="1"/>
    <col min="8716" max="8962" width="10" style="1"/>
    <col min="8963" max="8968" width="17.875" style="1" customWidth="1"/>
    <col min="8969" max="8971" width="15.875" style="1" customWidth="1"/>
    <col min="8972" max="9218" width="10" style="1"/>
    <col min="9219" max="9224" width="17.875" style="1" customWidth="1"/>
    <col min="9225" max="9227" width="15.875" style="1" customWidth="1"/>
    <col min="9228" max="9474" width="10" style="1"/>
    <col min="9475" max="9480" width="17.875" style="1" customWidth="1"/>
    <col min="9481" max="9483" width="15.875" style="1" customWidth="1"/>
    <col min="9484" max="9730" width="10" style="1"/>
    <col min="9731" max="9736" width="17.875" style="1" customWidth="1"/>
    <col min="9737" max="9739" width="15.875" style="1" customWidth="1"/>
    <col min="9740" max="9986" width="10" style="1"/>
    <col min="9987" max="9992" width="17.875" style="1" customWidth="1"/>
    <col min="9993" max="9995" width="15.875" style="1" customWidth="1"/>
    <col min="9996" max="10242" width="10" style="1"/>
    <col min="10243" max="10248" width="17.875" style="1" customWidth="1"/>
    <col min="10249" max="10251" width="15.875" style="1" customWidth="1"/>
    <col min="10252" max="10498" width="10" style="1"/>
    <col min="10499" max="10504" width="17.875" style="1" customWidth="1"/>
    <col min="10505" max="10507" width="15.875" style="1" customWidth="1"/>
    <col min="10508" max="10754" width="10" style="1"/>
    <col min="10755" max="10760" width="17.875" style="1" customWidth="1"/>
    <col min="10761" max="10763" width="15.875" style="1" customWidth="1"/>
    <col min="10764" max="11010" width="10" style="1"/>
    <col min="11011" max="11016" width="17.875" style="1" customWidth="1"/>
    <col min="11017" max="11019" width="15.875" style="1" customWidth="1"/>
    <col min="11020" max="11266" width="10" style="1"/>
    <col min="11267" max="11272" width="17.875" style="1" customWidth="1"/>
    <col min="11273" max="11275" width="15.875" style="1" customWidth="1"/>
    <col min="11276" max="11522" width="10" style="1"/>
    <col min="11523" max="11528" width="17.875" style="1" customWidth="1"/>
    <col min="11529" max="11531" width="15.875" style="1" customWidth="1"/>
    <col min="11532" max="11778" width="10" style="1"/>
    <col min="11779" max="11784" width="17.875" style="1" customWidth="1"/>
    <col min="11785" max="11787" width="15.875" style="1" customWidth="1"/>
    <col min="11788" max="12034" width="10" style="1"/>
    <col min="12035" max="12040" width="17.875" style="1" customWidth="1"/>
    <col min="12041" max="12043" width="15.875" style="1" customWidth="1"/>
    <col min="12044" max="12290" width="10" style="1"/>
    <col min="12291" max="12296" width="17.875" style="1" customWidth="1"/>
    <col min="12297" max="12299" width="15.875" style="1" customWidth="1"/>
    <col min="12300" max="12546" width="10" style="1"/>
    <col min="12547" max="12552" width="17.875" style="1" customWidth="1"/>
    <col min="12553" max="12555" width="15.875" style="1" customWidth="1"/>
    <col min="12556" max="12802" width="10" style="1"/>
    <col min="12803" max="12808" width="17.875" style="1" customWidth="1"/>
    <col min="12809" max="12811" width="15.875" style="1" customWidth="1"/>
    <col min="12812" max="13058" width="10" style="1"/>
    <col min="13059" max="13064" width="17.875" style="1" customWidth="1"/>
    <col min="13065" max="13067" width="15.875" style="1" customWidth="1"/>
    <col min="13068" max="13314" width="10" style="1"/>
    <col min="13315" max="13320" width="17.875" style="1" customWidth="1"/>
    <col min="13321" max="13323" width="15.875" style="1" customWidth="1"/>
    <col min="13324" max="13570" width="10" style="1"/>
    <col min="13571" max="13576" width="17.875" style="1" customWidth="1"/>
    <col min="13577" max="13579" width="15.875" style="1" customWidth="1"/>
    <col min="13580" max="13826" width="10" style="1"/>
    <col min="13827" max="13832" width="17.875" style="1" customWidth="1"/>
    <col min="13833" max="13835" width="15.875" style="1" customWidth="1"/>
    <col min="13836" max="14082" width="10" style="1"/>
    <col min="14083" max="14088" width="17.875" style="1" customWidth="1"/>
    <col min="14089" max="14091" width="15.875" style="1" customWidth="1"/>
    <col min="14092" max="14338" width="10" style="1"/>
    <col min="14339" max="14344" width="17.875" style="1" customWidth="1"/>
    <col min="14345" max="14347" width="15.875" style="1" customWidth="1"/>
    <col min="14348" max="14594" width="10" style="1"/>
    <col min="14595" max="14600" width="17.875" style="1" customWidth="1"/>
    <col min="14601" max="14603" width="15.875" style="1" customWidth="1"/>
    <col min="14604" max="14850" width="10" style="1"/>
    <col min="14851" max="14856" width="17.875" style="1" customWidth="1"/>
    <col min="14857" max="14859" width="15.875" style="1" customWidth="1"/>
    <col min="14860" max="15106" width="10" style="1"/>
    <col min="15107" max="15112" width="17.875" style="1" customWidth="1"/>
    <col min="15113" max="15115" width="15.875" style="1" customWidth="1"/>
    <col min="15116" max="15362" width="10" style="1"/>
    <col min="15363" max="15368" width="17.875" style="1" customWidth="1"/>
    <col min="15369" max="15371" width="15.875" style="1" customWidth="1"/>
    <col min="15372" max="15618" width="10" style="1"/>
    <col min="15619" max="15624" width="17.875" style="1" customWidth="1"/>
    <col min="15625" max="15627" width="15.875" style="1" customWidth="1"/>
    <col min="15628" max="15874" width="10" style="1"/>
    <col min="15875" max="15880" width="17.875" style="1" customWidth="1"/>
    <col min="15881" max="15883" width="15.875" style="1" customWidth="1"/>
    <col min="15884" max="16130" width="10" style="1"/>
    <col min="16131" max="16136" width="17.875" style="1" customWidth="1"/>
    <col min="16137" max="16139" width="15.875" style="1" customWidth="1"/>
    <col min="16140" max="16384" width="10" style="1"/>
  </cols>
  <sheetData>
    <row r="1" spans="1:19" ht="26.25" customHeight="1" x14ac:dyDescent="0.3">
      <c r="A1" s="83"/>
      <c r="B1" s="84" t="s">
        <v>112</v>
      </c>
      <c r="C1" s="60"/>
      <c r="D1" s="60"/>
      <c r="E1" s="60"/>
      <c r="F1" s="60"/>
      <c r="G1" s="60"/>
      <c r="H1" s="60"/>
      <c r="I1" s="60"/>
      <c r="J1" s="61"/>
      <c r="K1" s="3"/>
      <c r="M1" s="118"/>
    </row>
    <row r="2" spans="1:19" ht="42.75" customHeight="1" x14ac:dyDescent="0.3">
      <c r="A2" s="62"/>
      <c r="B2" s="140" t="str">
        <f>"("&amp;C12&amp;")"&amp;" "&amp;C6&amp;" "&amp; "시뮬레이션"</f>
        <v>(USD) KORELE 7.95 04/01/2096 시뮬레이션</v>
      </c>
      <c r="C2" s="140"/>
      <c r="D2" s="140"/>
      <c r="E2" s="140"/>
      <c r="F2" s="140"/>
      <c r="G2" s="140"/>
      <c r="H2" s="140"/>
      <c r="I2" s="140"/>
      <c r="J2" s="85"/>
      <c r="K2" s="80"/>
      <c r="M2" s="44"/>
      <c r="N2" s="42"/>
    </row>
    <row r="3" spans="1:19" ht="14.25" customHeight="1" x14ac:dyDescent="0.3">
      <c r="A3" s="62"/>
      <c r="B3" s="78" t="s">
        <v>31</v>
      </c>
      <c r="C3" s="55" t="s">
        <v>96</v>
      </c>
      <c r="D3" s="2"/>
      <c r="E3" s="2"/>
      <c r="F3" s="2"/>
      <c r="G3" s="2"/>
      <c r="H3" s="2"/>
      <c r="I3" s="2"/>
      <c r="J3" s="63"/>
      <c r="K3" s="2"/>
      <c r="L3" s="3"/>
      <c r="M3" s="45"/>
      <c r="O3" s="25"/>
      <c r="P3" s="51"/>
      <c r="Q3" s="45"/>
    </row>
    <row r="4" spans="1:19" ht="22.5" customHeight="1" x14ac:dyDescent="0.3">
      <c r="A4" s="62"/>
      <c r="B4" s="78" t="s">
        <v>126</v>
      </c>
      <c r="C4" s="78">
        <v>1449.6</v>
      </c>
      <c r="D4" s="134" t="s">
        <v>127</v>
      </c>
      <c r="E4" s="133" t="s">
        <v>129</v>
      </c>
      <c r="F4" s="3"/>
      <c r="G4" s="3"/>
      <c r="H4" s="5"/>
      <c r="I4" s="3"/>
      <c r="J4" s="70"/>
      <c r="K4" s="41"/>
      <c r="L4" s="3"/>
      <c r="M4" s="45"/>
      <c r="O4" s="25"/>
      <c r="P4" s="52"/>
      <c r="Q4" s="45"/>
    </row>
    <row r="5" spans="1:19" ht="22.5" customHeight="1" thickBot="1" x14ac:dyDescent="0.35">
      <c r="A5" s="62"/>
      <c r="B5" s="141" t="s">
        <v>24</v>
      </c>
      <c r="C5" s="141"/>
      <c r="D5" s="142" t="s">
        <v>0</v>
      </c>
      <c r="E5" s="142"/>
      <c r="F5" s="143" t="s">
        <v>1</v>
      </c>
      <c r="G5" s="144"/>
      <c r="H5" s="79"/>
      <c r="I5" s="43"/>
      <c r="J5" s="81"/>
      <c r="K5" s="43"/>
      <c r="L5" s="3"/>
      <c r="M5" s="45" t="s">
        <v>128</v>
      </c>
      <c r="O5" s="45"/>
      <c r="P5" s="45"/>
      <c r="Q5" s="45"/>
    </row>
    <row r="6" spans="1:19" ht="22.5" customHeight="1" thickBot="1" x14ac:dyDescent="0.35">
      <c r="A6" s="62"/>
      <c r="B6" s="106" t="s">
        <v>94</v>
      </c>
      <c r="C6" s="56" t="s">
        <v>135</v>
      </c>
      <c r="D6" s="103" t="s">
        <v>133</v>
      </c>
      <c r="E6" s="36">
        <f>I7-I7*G6</f>
        <v>970000</v>
      </c>
      <c r="F6" s="103" t="s">
        <v>42</v>
      </c>
      <c r="G6" s="111">
        <v>0.03</v>
      </c>
      <c r="H6" s="79"/>
      <c r="I6" s="97" t="str">
        <f>"고객 입금액"&amp;"("&amp;C13&amp;")"</f>
        <v>고객 입금액(USD)</v>
      </c>
      <c r="J6" s="81"/>
      <c r="K6" s="43"/>
      <c r="L6" s="3"/>
      <c r="M6" s="45" t="s">
        <v>129</v>
      </c>
      <c r="N6" s="112" t="s">
        <v>119</v>
      </c>
      <c r="O6" s="112" t="s">
        <v>120</v>
      </c>
      <c r="P6" s="112" t="s">
        <v>121</v>
      </c>
    </row>
    <row r="7" spans="1:19" ht="22.5" customHeight="1" thickBot="1" x14ac:dyDescent="0.35">
      <c r="A7" s="62"/>
      <c r="B7" s="103" t="s">
        <v>18</v>
      </c>
      <c r="C7" s="91">
        <v>35156</v>
      </c>
      <c r="D7" s="103" t="s">
        <v>22</v>
      </c>
      <c r="E7" s="110">
        <v>46620</v>
      </c>
      <c r="F7" s="103" t="s">
        <v>45</v>
      </c>
      <c r="G7" s="124">
        <f>TRUNC(I7*G6,0)</f>
        <v>30000</v>
      </c>
      <c r="H7" s="123"/>
      <c r="I7" s="96">
        <v>1000000</v>
      </c>
      <c r="J7" s="81"/>
      <c r="K7" s="43"/>
      <c r="L7" s="3"/>
      <c r="M7" s="45" t="s">
        <v>130</v>
      </c>
      <c r="N7" s="113" t="s">
        <v>26</v>
      </c>
      <c r="O7" s="113" t="s">
        <v>35</v>
      </c>
      <c r="P7" s="113" t="s">
        <v>114</v>
      </c>
    </row>
    <row r="8" spans="1:19" ht="22.5" customHeight="1" x14ac:dyDescent="0.3">
      <c r="A8" s="62"/>
      <c r="B8" s="103" t="s">
        <v>19</v>
      </c>
      <c r="C8" s="91">
        <v>71681</v>
      </c>
      <c r="D8" s="103" t="s">
        <v>23</v>
      </c>
      <c r="E8" s="108">
        <f>C8+11</f>
        <v>71692</v>
      </c>
      <c r="F8" s="103" t="s">
        <v>43</v>
      </c>
      <c r="G8" s="111">
        <v>5.0000000000000001E-3</v>
      </c>
      <c r="H8" s="122"/>
      <c r="I8" s="43"/>
      <c r="J8" s="81"/>
      <c r="K8" s="43"/>
      <c r="L8" s="3"/>
      <c r="M8" s="45" t="s">
        <v>131</v>
      </c>
      <c r="N8" s="114" t="s">
        <v>27</v>
      </c>
      <c r="O8" s="114" t="s">
        <v>37</v>
      </c>
      <c r="P8" s="114" t="s">
        <v>115</v>
      </c>
    </row>
    <row r="9" spans="1:19" ht="22.5" customHeight="1" x14ac:dyDescent="0.3">
      <c r="A9" s="62"/>
      <c r="B9" s="103" t="s">
        <v>20</v>
      </c>
      <c r="C9" s="92">
        <v>7.9500000000000001E-2</v>
      </c>
      <c r="D9" s="103" t="s">
        <v>4</v>
      </c>
      <c r="E9" s="109">
        <f>IF(C13="krw",ROUNDDOWN(E6/C14/E11*100,-3),ROUNDDOWN(E6/E11*100,-3))</f>
        <v>639000</v>
      </c>
      <c r="F9" s="103" t="s">
        <v>5</v>
      </c>
      <c r="G9" s="101">
        <f>+E8-E7</f>
        <v>25072</v>
      </c>
      <c r="H9" s="122"/>
      <c r="I9" s="128"/>
      <c r="J9" s="81"/>
      <c r="K9" s="43"/>
      <c r="L9" s="3"/>
      <c r="M9" s="45"/>
      <c r="N9" s="114" t="s">
        <v>28</v>
      </c>
      <c r="O9" s="114" t="s">
        <v>38</v>
      </c>
      <c r="P9" s="114" t="s">
        <v>116</v>
      </c>
    </row>
    <row r="10" spans="1:19" ht="22.5" customHeight="1" x14ac:dyDescent="0.3">
      <c r="A10" s="62"/>
      <c r="B10" s="103" t="s">
        <v>34</v>
      </c>
      <c r="C10" s="94" t="s">
        <v>36</v>
      </c>
      <c r="D10" s="103" t="s">
        <v>32</v>
      </c>
      <c r="E10" s="34">
        <f>ROUNDUP(PRICE($O$12,$C$8,$C$9,$E$12,100,IF($C$10=O9,1,IF($C$10=O8,2,4))),4)</f>
        <v>148.6097</v>
      </c>
      <c r="F10" s="104" t="s">
        <v>6</v>
      </c>
      <c r="G10" s="125">
        <f>IF(C13="krw",TRUNC(D163+(C163*C15)+E15-($I$7*G8/365*G9),0),TRUNC(D163+(C163)+E15-($I$7*G8/365*G9),0))</f>
        <v>3800986</v>
      </c>
      <c r="H10" s="122"/>
      <c r="I10" s="129"/>
      <c r="J10" s="81"/>
      <c r="K10" s="43"/>
      <c r="L10" s="4"/>
      <c r="M10" s="46"/>
      <c r="N10" s="114" t="s">
        <v>29</v>
      </c>
      <c r="O10" s="114"/>
      <c r="P10" s="114" t="s">
        <v>117</v>
      </c>
    </row>
    <row r="11" spans="1:19" ht="22.5" customHeight="1" x14ac:dyDescent="0.3">
      <c r="A11" s="62"/>
      <c r="B11" s="103" t="s">
        <v>21</v>
      </c>
      <c r="C11" s="93" t="s">
        <v>98</v>
      </c>
      <c r="D11" s="103" t="s">
        <v>33</v>
      </c>
      <c r="E11" s="130">
        <f>ROUNDUP(E10+(100*$C$9*YEARFRAC($O$13,$O$12,IF(C3=N7,0,IF(C3=N8,1,IF(C3=N9,2,IF(C3=N10,3,4)))))),4)</f>
        <v>151.76769999999999</v>
      </c>
      <c r="F11" s="107" t="s">
        <v>95</v>
      </c>
      <c r="G11" s="125">
        <f>TRUNC(I7*G8/365*(E8-C8),0)</f>
        <v>150</v>
      </c>
      <c r="H11" s="122"/>
      <c r="I11" s="135"/>
      <c r="J11" s="81"/>
      <c r="K11" s="43"/>
      <c r="L11" s="4"/>
      <c r="M11" s="46"/>
      <c r="N11" s="115" t="s">
        <v>30</v>
      </c>
      <c r="O11" s="115"/>
      <c r="P11" s="115" t="s">
        <v>124</v>
      </c>
    </row>
    <row r="12" spans="1:19" ht="22.5" customHeight="1" x14ac:dyDescent="0.3">
      <c r="A12" s="62"/>
      <c r="B12" s="103" t="s">
        <v>125</v>
      </c>
      <c r="C12" s="93" t="s">
        <v>113</v>
      </c>
      <c r="D12" s="103" t="s">
        <v>7</v>
      </c>
      <c r="E12" s="139">
        <v>5.2999999999999999E-2</v>
      </c>
      <c r="F12" s="104" t="s">
        <v>10</v>
      </c>
      <c r="G12" s="125">
        <f>IF(C13="krw",(TRUNC(I163+(C163*C15)+E15-G11,0)),(TRUNC(I163+(C163)+E15-G11,0)))</f>
        <v>3757422</v>
      </c>
      <c r="H12" s="122"/>
      <c r="I12" s="43"/>
      <c r="J12" s="81"/>
      <c r="K12" s="43"/>
      <c r="L12" s="4"/>
      <c r="M12" s="46"/>
      <c r="N12" s="103" t="s">
        <v>8</v>
      </c>
      <c r="O12" s="95">
        <f>WORKDAY(E7,2)</f>
        <v>46623</v>
      </c>
    </row>
    <row r="13" spans="1:19" ht="22.5" customHeight="1" x14ac:dyDescent="0.3">
      <c r="A13" s="62"/>
      <c r="B13" s="103" t="s">
        <v>39</v>
      </c>
      <c r="C13" s="109" t="s">
        <v>113</v>
      </c>
      <c r="D13" s="103" t="s">
        <v>134</v>
      </c>
      <c r="E13" s="98">
        <f>E9*$C$9*YEARFRAC($O$13,$O$12,IF(C3=N7,0,IF(C3=N8,1,IF(C3=N9,2,IF(C3=N10,3,4)))))</f>
        <v>20179.087499999998</v>
      </c>
      <c r="F13" s="119" t="s">
        <v>12</v>
      </c>
      <c r="G13" s="22">
        <f>(G10-I7)/I7*365/G9</f>
        <v>4.0776957961072113E-2</v>
      </c>
      <c r="H13" s="122"/>
      <c r="I13" s="43"/>
      <c r="J13" s="81"/>
      <c r="K13" s="43"/>
      <c r="L13" s="4"/>
      <c r="M13" s="46"/>
      <c r="N13" s="104" t="s">
        <v>25</v>
      </c>
      <c r="O13" s="91">
        <f>COUPPCD(O12,C8,IF($C$10=$O$9,1,IF($C$10=$O$8,2,4)),IF(C3=N7,0,IF(C3=N8,1,IF(C3=N9,2,IF(C3=N10,3,4)))))</f>
        <v>46478</v>
      </c>
    </row>
    <row r="14" spans="1:19" ht="22.5" customHeight="1" x14ac:dyDescent="0.3">
      <c r="A14" s="62"/>
      <c r="B14" s="103" t="s">
        <v>122</v>
      </c>
      <c r="C14" s="121">
        <f>C4</f>
        <v>1449.6</v>
      </c>
      <c r="D14" s="103" t="s">
        <v>132</v>
      </c>
      <c r="E14" s="99">
        <f>IF(C13="KRW",E9*E11/100*C14,E9*E11/100)</f>
        <v>969795.603</v>
      </c>
      <c r="F14" s="119" t="s">
        <v>2</v>
      </c>
      <c r="G14" s="22">
        <f>(G12-I7)/I7*365/G9</f>
        <v>4.0142750079770258E-2</v>
      </c>
      <c r="H14" s="3"/>
      <c r="I14" s="53"/>
      <c r="J14" s="64"/>
      <c r="K14" s="53"/>
      <c r="L14" s="3"/>
      <c r="M14" s="45"/>
    </row>
    <row r="15" spans="1:19" ht="22.5" customHeight="1" x14ac:dyDescent="0.3">
      <c r="A15" s="62"/>
      <c r="B15" s="103" t="s">
        <v>123</v>
      </c>
      <c r="C15" s="121">
        <f>C4</f>
        <v>1449.6</v>
      </c>
      <c r="D15" s="103" t="s">
        <v>44</v>
      </c>
      <c r="E15" s="120">
        <f>TRUNC(I7-G7-E14,0)</f>
        <v>204</v>
      </c>
      <c r="F15" s="119" t="s">
        <v>3</v>
      </c>
      <c r="G15" s="22">
        <f>G14/(1-0.154)</f>
        <v>4.7450059195945936E-2</v>
      </c>
      <c r="H15" s="3"/>
      <c r="I15" s="57"/>
      <c r="J15" s="65"/>
      <c r="K15" s="39"/>
      <c r="L15" s="3"/>
      <c r="M15" s="45"/>
    </row>
    <row r="16" spans="1:19" ht="20.25" customHeight="1" x14ac:dyDescent="0.3">
      <c r="A16" s="62"/>
      <c r="B16" s="73"/>
      <c r="C16" s="24"/>
      <c r="D16" s="25"/>
      <c r="E16" s="26"/>
      <c r="F16" s="25"/>
      <c r="G16" s="25"/>
      <c r="H16" s="27"/>
      <c r="I16" s="39"/>
      <c r="J16" s="65"/>
      <c r="K16" s="39"/>
      <c r="L16" s="3"/>
      <c r="M16" s="45"/>
      <c r="S16" s="54"/>
    </row>
    <row r="17" spans="1:20" ht="20.25" customHeight="1" x14ac:dyDescent="0.3">
      <c r="A17" s="62"/>
      <c r="B17" s="3"/>
      <c r="C17" s="23"/>
      <c r="D17" s="23"/>
      <c r="E17" s="4"/>
      <c r="F17" s="3"/>
      <c r="G17" s="3"/>
      <c r="H17" s="5"/>
      <c r="I17" s="3"/>
      <c r="J17" s="70"/>
      <c r="K17" s="45"/>
      <c r="L17" s="45"/>
      <c r="M17" s="45"/>
    </row>
    <row r="18" spans="1:20" ht="20.25" customHeight="1" x14ac:dyDescent="0.3">
      <c r="A18" s="62"/>
      <c r="B18" s="119" t="s">
        <v>101</v>
      </c>
      <c r="C18" s="119" t="s">
        <v>99</v>
      </c>
      <c r="D18" s="119" t="s">
        <v>14</v>
      </c>
      <c r="E18" s="119" t="s">
        <v>46</v>
      </c>
      <c r="F18" s="119" t="s">
        <v>47</v>
      </c>
      <c r="G18" s="119" t="s">
        <v>15</v>
      </c>
      <c r="H18" s="119" t="str">
        <f>IF(E4="개인","농특세","농특세")</f>
        <v>농특세</v>
      </c>
      <c r="I18" s="119" t="s">
        <v>17</v>
      </c>
      <c r="J18" s="66"/>
      <c r="K18" s="25"/>
      <c r="L18" s="25"/>
      <c r="M18" s="119" t="s">
        <v>13</v>
      </c>
      <c r="O18" s="1" t="s">
        <v>48</v>
      </c>
      <c r="P18" s="1" t="s">
        <v>53</v>
      </c>
      <c r="Q18" s="1" t="s">
        <v>50</v>
      </c>
      <c r="R18" s="1" t="s">
        <v>52</v>
      </c>
      <c r="S18" s="1" t="s">
        <v>49</v>
      </c>
      <c r="T18" s="1" t="s">
        <v>51</v>
      </c>
    </row>
    <row r="19" spans="1:20" ht="20.25" customHeight="1" x14ac:dyDescent="0.3">
      <c r="A19" s="62"/>
      <c r="B19" s="6">
        <f>COUPNCD(O12,C8,IF($C$10=O9,1,IF($C$10=O8,2,4)))</f>
        <v>46661</v>
      </c>
      <c r="C19" s="117" t="str">
        <f t="shared" ref="C19:C58" si="0">IF(B19=$C$8,$E$9,"")</f>
        <v/>
      </c>
      <c r="D19" s="131">
        <f>IF(B19="","",IF($C$13="krw",(TRUNC(($C$9*$E$9)/(IF($C$10=$O$9,1,IF($C$10=$O$8,2,4))),2)*$C$14),(TRUNC(($C$9*$E$9)/(IF($C$10=$O$9,1,IF($C$10=$O$8,2,4))),2))))</f>
        <v>25400.25</v>
      </c>
      <c r="E19" s="131">
        <f>IF(B19="","",IF($C$13="krw",(TRUNC(D19-$E$9*$C$9*$C$14*YEARFRAC($O$13,$O$12,IF(C3=N7,0,IF(C3=N8,1,IF(C3=N9,2,IF(C3=N10,3,4))))),0)),(TRUNC(D19-$E$9*$C$9*YEARFRAC($O$13,$O$12,IF(C3=N7,0,IF(C3=N8,1,IF(C3=N9,2,IF(C3=N10,3,4))))),0))))</f>
        <v>5221</v>
      </c>
      <c r="F19" s="137">
        <f>IF(E19&gt;R19,E19-R19,0)</f>
        <v>0</v>
      </c>
      <c r="G19" s="132">
        <f>ROUNDDOWN(F19*0%,-1)</f>
        <v>0</v>
      </c>
      <c r="H19" s="132">
        <f>IF($E$4="개인",F19*1.4%,F19*2.8%)</f>
        <v>0</v>
      </c>
      <c r="I19" s="131">
        <f>IF(B19="","",D19-P19-G19-H19)</f>
        <v>24838.60616438356</v>
      </c>
      <c r="J19" s="86"/>
      <c r="K19" s="11"/>
      <c r="L19" s="11"/>
      <c r="M19" s="6">
        <f>E7</f>
        <v>46620</v>
      </c>
      <c r="N19" s="40" t="s">
        <v>54</v>
      </c>
      <c r="O19" s="38">
        <f>G7</f>
        <v>30000</v>
      </c>
      <c r="P19" s="38">
        <f>$I$7*$G$8/365*(_xlfn.DAYS(B19,$E$7))</f>
        <v>561.64383561643831</v>
      </c>
      <c r="Q19" s="38">
        <f>P19</f>
        <v>561.64383561643831</v>
      </c>
      <c r="R19" s="38">
        <f>+O19+Q19</f>
        <v>30561.64383561644</v>
      </c>
      <c r="S19" s="38">
        <f t="shared" ref="S19:S58" si="1">IF(E19&lt;O19,O19-E19,0)</f>
        <v>24779</v>
      </c>
      <c r="T19" s="38">
        <f t="shared" ref="T19:T58" si="2">IF(S19&gt;0,Q19,IF(E19&gt;R19,0,Q19-(E19-O19)))</f>
        <v>561.64383561643831</v>
      </c>
    </row>
    <row r="20" spans="1:20" ht="20.25" customHeight="1" x14ac:dyDescent="0.3">
      <c r="A20" s="62"/>
      <c r="B20" s="6">
        <f t="shared" ref="B20:B58" si="3">IF(B19&lt;$C$8,COUPNCD(B19,$C$8,IF($C$10=O$9,1,IF($C$10=O$8,2,4))),"")</f>
        <v>46844</v>
      </c>
      <c r="C20" s="117" t="str">
        <f t="shared" si="0"/>
        <v/>
      </c>
      <c r="D20" s="131">
        <f t="shared" ref="D20:D58" si="4">IF(B20="","",IF($C$13="krw",(TRUNC(($C$9*$E$9)/(IF($C$10=$O$9,1,IF($C$10=$O$8,2,4))),2)*$C$14),(TRUNC(($C$9*$E$9)/(IF($C$10=$O$9,1,IF($C$10=$O$8,2,4))),2))))</f>
        <v>25400.25</v>
      </c>
      <c r="E20" s="131">
        <f>IF(B20="","",D20)</f>
        <v>25400.25</v>
      </c>
      <c r="F20" s="137">
        <f>IF(B20="","",IF(E20&gt;R20,E20-R20,0))</f>
        <v>0</v>
      </c>
      <c r="G20" s="132">
        <f t="shared" ref="G20:G83" si="5">ROUNDDOWN(F20*0%,-1)</f>
        <v>0</v>
      </c>
      <c r="H20" s="132">
        <f t="shared" ref="H20:H83" si="6">IF($E$4="개인",F20*1.4%,F20*2.8%)</f>
        <v>0</v>
      </c>
      <c r="I20" s="131">
        <f t="shared" ref="I20:I58" si="7">IF(B20="","",D20-P20-G20-H20)</f>
        <v>22893.400684931508</v>
      </c>
      <c r="J20" s="66"/>
      <c r="K20" s="11"/>
      <c r="L20" s="11"/>
      <c r="M20" s="6">
        <f t="shared" ref="M20:M58" si="8">IF(B19&lt;$C$8,COUPNCD(M19,$C$8,IF($C$10=$O$9,1,IF($C$10=$O$8,2,4))),"")</f>
        <v>46661</v>
      </c>
      <c r="N20" s="40" t="s">
        <v>55</v>
      </c>
      <c r="O20" s="38">
        <f>S19</f>
        <v>24779</v>
      </c>
      <c r="P20" s="38">
        <f>$I$7*$G$8/365*(_xlfn.DAYS(B20,M20))</f>
        <v>2506.8493150684931</v>
      </c>
      <c r="Q20" s="38">
        <f>+T19+P20</f>
        <v>3068.4931506849316</v>
      </c>
      <c r="R20" s="38">
        <f>+O20+Q20</f>
        <v>27847.493150684932</v>
      </c>
      <c r="S20" s="38">
        <f t="shared" si="1"/>
        <v>0</v>
      </c>
      <c r="T20" s="38">
        <f t="shared" si="2"/>
        <v>2447.2431506849316</v>
      </c>
    </row>
    <row r="21" spans="1:20" ht="20.25" customHeight="1" x14ac:dyDescent="0.3">
      <c r="A21" s="62"/>
      <c r="B21" s="6">
        <f t="shared" si="3"/>
        <v>47027</v>
      </c>
      <c r="C21" s="117" t="str">
        <f t="shared" si="0"/>
        <v/>
      </c>
      <c r="D21" s="131">
        <f t="shared" si="4"/>
        <v>25400.25</v>
      </c>
      <c r="E21" s="131">
        <f t="shared" ref="E21:E84" si="9">IF(B21="","",D21)</f>
        <v>25400.25</v>
      </c>
      <c r="F21" s="137">
        <f>IF(B21="","",IF(E21&gt;R21,E21-R21,0))</f>
        <v>20446.157534246573</v>
      </c>
      <c r="G21" s="132">
        <f t="shared" si="5"/>
        <v>0</v>
      </c>
      <c r="H21" s="132">
        <f t="shared" si="6"/>
        <v>286.24620547945199</v>
      </c>
      <c r="I21" s="131">
        <f t="shared" si="7"/>
        <v>22607.154479452056</v>
      </c>
      <c r="J21" s="66"/>
      <c r="K21" s="11"/>
      <c r="L21" s="11"/>
      <c r="M21" s="6">
        <f t="shared" si="8"/>
        <v>46844</v>
      </c>
      <c r="N21" s="40" t="s">
        <v>56</v>
      </c>
      <c r="O21" s="38">
        <f>S20</f>
        <v>0</v>
      </c>
      <c r="P21" s="38">
        <f t="shared" ref="P21:P84" si="10">$I$7*$G$8/365*(_xlfn.DAYS(B21,M21))</f>
        <v>2506.8493150684931</v>
      </c>
      <c r="Q21" s="38">
        <f>+T20+P21</f>
        <v>4954.0924657534251</v>
      </c>
      <c r="R21" s="38">
        <f>+O21+Q21</f>
        <v>4954.0924657534251</v>
      </c>
      <c r="S21" s="38">
        <f t="shared" si="1"/>
        <v>0</v>
      </c>
      <c r="T21" s="38">
        <f t="shared" si="2"/>
        <v>0</v>
      </c>
    </row>
    <row r="22" spans="1:20" ht="20.25" customHeight="1" x14ac:dyDescent="0.3">
      <c r="A22" s="62"/>
      <c r="B22" s="6">
        <f t="shared" si="3"/>
        <v>47209</v>
      </c>
      <c r="C22" s="117" t="str">
        <f t="shared" si="0"/>
        <v/>
      </c>
      <c r="D22" s="131">
        <f t="shared" si="4"/>
        <v>25400.25</v>
      </c>
      <c r="E22" s="131">
        <f t="shared" si="9"/>
        <v>25400.25</v>
      </c>
      <c r="F22" s="137">
        <f t="shared" ref="F22:F58" si="11">IF(B22="","",IF(E22&gt;R22,E22-R22,0))</f>
        <v>22907.099315068492</v>
      </c>
      <c r="G22" s="132">
        <f t="shared" si="5"/>
        <v>0</v>
      </c>
      <c r="H22" s="132">
        <f t="shared" si="6"/>
        <v>320.69939041095887</v>
      </c>
      <c r="I22" s="131">
        <f t="shared" si="7"/>
        <v>22586.399924657533</v>
      </c>
      <c r="J22" s="66"/>
      <c r="K22" s="11"/>
      <c r="L22" s="11"/>
      <c r="M22" s="6">
        <f t="shared" si="8"/>
        <v>47027</v>
      </c>
      <c r="N22" s="40" t="s">
        <v>57</v>
      </c>
      <c r="O22" s="38">
        <f t="shared" ref="O22:O58" si="12">S21</f>
        <v>0</v>
      </c>
      <c r="P22" s="38">
        <f t="shared" si="10"/>
        <v>2493.1506849315069</v>
      </c>
      <c r="Q22" s="38">
        <f t="shared" ref="Q22:Q58" si="13">+T21+P22</f>
        <v>2493.1506849315069</v>
      </c>
      <c r="R22" s="38">
        <f t="shared" ref="R22:R58" si="14">+O22+Q22</f>
        <v>2493.1506849315069</v>
      </c>
      <c r="S22" s="38">
        <f t="shared" si="1"/>
        <v>0</v>
      </c>
      <c r="T22" s="38">
        <f t="shared" si="2"/>
        <v>0</v>
      </c>
    </row>
    <row r="23" spans="1:20" ht="20.25" customHeight="1" x14ac:dyDescent="0.3">
      <c r="A23" s="62"/>
      <c r="B23" s="6">
        <f t="shared" si="3"/>
        <v>47392</v>
      </c>
      <c r="C23" s="117" t="str">
        <f t="shared" si="0"/>
        <v/>
      </c>
      <c r="D23" s="131">
        <f t="shared" si="4"/>
        <v>25400.25</v>
      </c>
      <c r="E23" s="131">
        <f t="shared" si="9"/>
        <v>25400.25</v>
      </c>
      <c r="F23" s="137">
        <f t="shared" si="11"/>
        <v>22893.400684931508</v>
      </c>
      <c r="G23" s="132">
        <f t="shared" si="5"/>
        <v>0</v>
      </c>
      <c r="H23" s="132">
        <f t="shared" si="6"/>
        <v>320.50760958904107</v>
      </c>
      <c r="I23" s="131">
        <f t="shared" si="7"/>
        <v>22572.893075342468</v>
      </c>
      <c r="J23" s="66"/>
      <c r="K23" s="11"/>
      <c r="L23" s="11"/>
      <c r="M23" s="6">
        <f t="shared" si="8"/>
        <v>47209</v>
      </c>
      <c r="N23" s="40" t="s">
        <v>58</v>
      </c>
      <c r="O23" s="38">
        <f t="shared" si="12"/>
        <v>0</v>
      </c>
      <c r="P23" s="38">
        <f t="shared" si="10"/>
        <v>2506.8493150684931</v>
      </c>
      <c r="Q23" s="38">
        <f t="shared" si="13"/>
        <v>2506.8493150684931</v>
      </c>
      <c r="R23" s="38">
        <f t="shared" si="14"/>
        <v>2506.8493150684931</v>
      </c>
      <c r="S23" s="38">
        <f t="shared" si="1"/>
        <v>0</v>
      </c>
      <c r="T23" s="38">
        <f t="shared" si="2"/>
        <v>0</v>
      </c>
    </row>
    <row r="24" spans="1:20" ht="20.25" customHeight="1" x14ac:dyDescent="0.3">
      <c r="A24" s="62"/>
      <c r="B24" s="6">
        <f t="shared" si="3"/>
        <v>47574</v>
      </c>
      <c r="C24" s="117" t="str">
        <f t="shared" si="0"/>
        <v/>
      </c>
      <c r="D24" s="131">
        <f t="shared" si="4"/>
        <v>25400.25</v>
      </c>
      <c r="E24" s="131">
        <f t="shared" si="9"/>
        <v>25400.25</v>
      </c>
      <c r="F24" s="137">
        <f t="shared" si="11"/>
        <v>22907.099315068492</v>
      </c>
      <c r="G24" s="132">
        <f t="shared" si="5"/>
        <v>0</v>
      </c>
      <c r="H24" s="132">
        <f t="shared" si="6"/>
        <v>320.69939041095887</v>
      </c>
      <c r="I24" s="126">
        <f t="shared" si="7"/>
        <v>22586.399924657533</v>
      </c>
      <c r="J24" s="66"/>
      <c r="K24" s="11"/>
      <c r="L24" s="11"/>
      <c r="M24" s="6">
        <f t="shared" si="8"/>
        <v>47392</v>
      </c>
      <c r="N24" s="40" t="s">
        <v>59</v>
      </c>
      <c r="O24" s="38">
        <f t="shared" si="12"/>
        <v>0</v>
      </c>
      <c r="P24" s="38">
        <f t="shared" si="10"/>
        <v>2493.1506849315069</v>
      </c>
      <c r="Q24" s="38">
        <f t="shared" si="13"/>
        <v>2493.1506849315069</v>
      </c>
      <c r="R24" s="38">
        <f t="shared" si="14"/>
        <v>2493.1506849315069</v>
      </c>
      <c r="S24" s="38">
        <f t="shared" si="1"/>
        <v>0</v>
      </c>
      <c r="T24" s="38">
        <f t="shared" si="2"/>
        <v>0</v>
      </c>
    </row>
    <row r="25" spans="1:20" ht="20.25" customHeight="1" x14ac:dyDescent="0.3">
      <c r="A25" s="62"/>
      <c r="B25" s="6">
        <f t="shared" si="3"/>
        <v>47757</v>
      </c>
      <c r="C25" s="117" t="str">
        <f t="shared" si="0"/>
        <v/>
      </c>
      <c r="D25" s="131">
        <f t="shared" si="4"/>
        <v>25400.25</v>
      </c>
      <c r="E25" s="131">
        <f t="shared" si="9"/>
        <v>25400.25</v>
      </c>
      <c r="F25" s="137">
        <f t="shared" si="11"/>
        <v>22893.400684931508</v>
      </c>
      <c r="G25" s="132">
        <f t="shared" si="5"/>
        <v>0</v>
      </c>
      <c r="H25" s="132">
        <f t="shared" si="6"/>
        <v>320.50760958904107</v>
      </c>
      <c r="I25" s="126">
        <f t="shared" si="7"/>
        <v>22572.893075342468</v>
      </c>
      <c r="J25" s="66"/>
      <c r="K25" s="11"/>
      <c r="L25" s="11"/>
      <c r="M25" s="6">
        <f t="shared" si="8"/>
        <v>47574</v>
      </c>
      <c r="N25" s="40" t="s">
        <v>60</v>
      </c>
      <c r="O25" s="38">
        <f t="shared" si="12"/>
        <v>0</v>
      </c>
      <c r="P25" s="38">
        <f t="shared" si="10"/>
        <v>2506.8493150684931</v>
      </c>
      <c r="Q25" s="38">
        <f t="shared" si="13"/>
        <v>2506.8493150684931</v>
      </c>
      <c r="R25" s="38">
        <f t="shared" si="14"/>
        <v>2506.8493150684931</v>
      </c>
      <c r="S25" s="38">
        <f t="shared" si="1"/>
        <v>0</v>
      </c>
      <c r="T25" s="38">
        <f t="shared" si="2"/>
        <v>0</v>
      </c>
    </row>
    <row r="26" spans="1:20" ht="20.25" customHeight="1" x14ac:dyDescent="0.3">
      <c r="A26" s="62"/>
      <c r="B26" s="6">
        <f t="shared" si="3"/>
        <v>47939</v>
      </c>
      <c r="C26" s="117" t="str">
        <f t="shared" si="0"/>
        <v/>
      </c>
      <c r="D26" s="131">
        <f t="shared" si="4"/>
        <v>25400.25</v>
      </c>
      <c r="E26" s="131">
        <f t="shared" si="9"/>
        <v>25400.25</v>
      </c>
      <c r="F26" s="138">
        <f t="shared" si="11"/>
        <v>22907.099315068492</v>
      </c>
      <c r="G26" s="132">
        <f t="shared" si="5"/>
        <v>0</v>
      </c>
      <c r="H26" s="132">
        <f t="shared" si="6"/>
        <v>320.69939041095887</v>
      </c>
      <c r="I26" s="9">
        <f t="shared" si="7"/>
        <v>22586.399924657533</v>
      </c>
      <c r="J26" s="66"/>
      <c r="K26" s="11"/>
      <c r="L26" s="11"/>
      <c r="M26" s="6">
        <f t="shared" si="8"/>
        <v>47757</v>
      </c>
      <c r="N26" s="40" t="s">
        <v>61</v>
      </c>
      <c r="O26" s="38">
        <f t="shared" si="12"/>
        <v>0</v>
      </c>
      <c r="P26" s="38">
        <f t="shared" si="10"/>
        <v>2493.1506849315069</v>
      </c>
      <c r="Q26" s="38">
        <f t="shared" si="13"/>
        <v>2493.1506849315069</v>
      </c>
      <c r="R26" s="38">
        <f t="shared" si="14"/>
        <v>2493.1506849315069</v>
      </c>
      <c r="S26" s="38">
        <f t="shared" si="1"/>
        <v>0</v>
      </c>
      <c r="T26" s="38">
        <f t="shared" si="2"/>
        <v>0</v>
      </c>
    </row>
    <row r="27" spans="1:20" ht="20.25" customHeight="1" x14ac:dyDescent="0.3">
      <c r="A27" s="62"/>
      <c r="B27" s="6">
        <f t="shared" si="3"/>
        <v>48122</v>
      </c>
      <c r="C27" s="117" t="str">
        <f t="shared" si="0"/>
        <v/>
      </c>
      <c r="D27" s="131">
        <f t="shared" si="4"/>
        <v>25400.25</v>
      </c>
      <c r="E27" s="131">
        <f t="shared" si="9"/>
        <v>25400.25</v>
      </c>
      <c r="F27" s="138">
        <f t="shared" si="11"/>
        <v>22893.400684931508</v>
      </c>
      <c r="G27" s="132">
        <f t="shared" si="5"/>
        <v>0</v>
      </c>
      <c r="H27" s="132">
        <f t="shared" si="6"/>
        <v>320.50760958904107</v>
      </c>
      <c r="I27" s="9">
        <f t="shared" si="7"/>
        <v>22572.893075342468</v>
      </c>
      <c r="J27" s="66"/>
      <c r="K27" s="11"/>
      <c r="L27" s="11"/>
      <c r="M27" s="6">
        <f t="shared" si="8"/>
        <v>47939</v>
      </c>
      <c r="N27" s="40" t="s">
        <v>62</v>
      </c>
      <c r="O27" s="38">
        <f t="shared" si="12"/>
        <v>0</v>
      </c>
      <c r="P27" s="38">
        <f t="shared" si="10"/>
        <v>2506.8493150684931</v>
      </c>
      <c r="Q27" s="38">
        <f t="shared" si="13"/>
        <v>2506.8493150684931</v>
      </c>
      <c r="R27" s="38">
        <f t="shared" si="14"/>
        <v>2506.8493150684931</v>
      </c>
      <c r="S27" s="38">
        <f t="shared" si="1"/>
        <v>0</v>
      </c>
      <c r="T27" s="38">
        <f t="shared" si="2"/>
        <v>0</v>
      </c>
    </row>
    <row r="28" spans="1:20" ht="20.25" customHeight="1" x14ac:dyDescent="0.3">
      <c r="A28" s="62"/>
      <c r="B28" s="6">
        <f t="shared" si="3"/>
        <v>48305</v>
      </c>
      <c r="C28" s="117" t="str">
        <f t="shared" si="0"/>
        <v/>
      </c>
      <c r="D28" s="131">
        <f t="shared" si="4"/>
        <v>25400.25</v>
      </c>
      <c r="E28" s="131">
        <f t="shared" si="9"/>
        <v>25400.25</v>
      </c>
      <c r="F28" s="138">
        <f t="shared" si="11"/>
        <v>22893.400684931508</v>
      </c>
      <c r="G28" s="132">
        <f t="shared" si="5"/>
        <v>0</v>
      </c>
      <c r="H28" s="132">
        <f t="shared" si="6"/>
        <v>320.50760958904107</v>
      </c>
      <c r="I28" s="9">
        <f t="shared" si="7"/>
        <v>22572.893075342468</v>
      </c>
      <c r="J28" s="66"/>
      <c r="K28" s="11"/>
      <c r="L28" s="11"/>
      <c r="M28" s="6">
        <f t="shared" si="8"/>
        <v>48122</v>
      </c>
      <c r="N28" s="40" t="s">
        <v>63</v>
      </c>
      <c r="O28" s="38">
        <f t="shared" si="12"/>
        <v>0</v>
      </c>
      <c r="P28" s="38">
        <f t="shared" si="10"/>
        <v>2506.8493150684931</v>
      </c>
      <c r="Q28" s="38">
        <f t="shared" si="13"/>
        <v>2506.8493150684931</v>
      </c>
      <c r="R28" s="38">
        <f t="shared" si="14"/>
        <v>2506.8493150684931</v>
      </c>
      <c r="S28" s="38">
        <f t="shared" si="1"/>
        <v>0</v>
      </c>
      <c r="T28" s="38">
        <f t="shared" si="2"/>
        <v>0</v>
      </c>
    </row>
    <row r="29" spans="1:20" ht="20.25" customHeight="1" x14ac:dyDescent="0.3">
      <c r="A29" s="62"/>
      <c r="B29" s="6">
        <f t="shared" si="3"/>
        <v>48488</v>
      </c>
      <c r="C29" s="117" t="str">
        <f t="shared" si="0"/>
        <v/>
      </c>
      <c r="D29" s="131">
        <f t="shared" si="4"/>
        <v>25400.25</v>
      </c>
      <c r="E29" s="131">
        <f t="shared" si="9"/>
        <v>25400.25</v>
      </c>
      <c r="F29" s="138">
        <f t="shared" si="11"/>
        <v>22893.400684931508</v>
      </c>
      <c r="G29" s="132">
        <f t="shared" si="5"/>
        <v>0</v>
      </c>
      <c r="H29" s="132">
        <f t="shared" si="6"/>
        <v>320.50760958904107</v>
      </c>
      <c r="I29" s="9">
        <f t="shared" si="7"/>
        <v>22572.893075342468</v>
      </c>
      <c r="J29" s="66"/>
      <c r="K29" s="11"/>
      <c r="L29" s="11"/>
      <c r="M29" s="6">
        <f t="shared" si="8"/>
        <v>48305</v>
      </c>
      <c r="N29" s="40" t="s">
        <v>64</v>
      </c>
      <c r="O29" s="38">
        <f t="shared" si="12"/>
        <v>0</v>
      </c>
      <c r="P29" s="38">
        <f t="shared" si="10"/>
        <v>2506.8493150684931</v>
      </c>
      <c r="Q29" s="38">
        <f t="shared" si="13"/>
        <v>2506.8493150684931</v>
      </c>
      <c r="R29" s="38">
        <f t="shared" si="14"/>
        <v>2506.8493150684931</v>
      </c>
      <c r="S29" s="38">
        <f t="shared" si="1"/>
        <v>0</v>
      </c>
      <c r="T29" s="38">
        <f t="shared" si="2"/>
        <v>0</v>
      </c>
    </row>
    <row r="30" spans="1:20" ht="20.25" customHeight="1" x14ac:dyDescent="0.3">
      <c r="A30" s="62"/>
      <c r="B30" s="6">
        <f t="shared" si="3"/>
        <v>48670</v>
      </c>
      <c r="C30" s="117" t="str">
        <f t="shared" si="0"/>
        <v/>
      </c>
      <c r="D30" s="131">
        <f t="shared" si="4"/>
        <v>25400.25</v>
      </c>
      <c r="E30" s="131">
        <f t="shared" si="9"/>
        <v>25400.25</v>
      </c>
      <c r="F30" s="138">
        <f t="shared" si="11"/>
        <v>22907.099315068492</v>
      </c>
      <c r="G30" s="132">
        <f t="shared" si="5"/>
        <v>0</v>
      </c>
      <c r="H30" s="132">
        <f t="shared" si="6"/>
        <v>320.69939041095887</v>
      </c>
      <c r="I30" s="9">
        <f t="shared" si="7"/>
        <v>22586.399924657533</v>
      </c>
      <c r="J30" s="66"/>
      <c r="K30" s="11"/>
      <c r="L30" s="11"/>
      <c r="M30" s="6">
        <f t="shared" si="8"/>
        <v>48488</v>
      </c>
      <c r="N30" s="40" t="s">
        <v>65</v>
      </c>
      <c r="O30" s="38">
        <f t="shared" si="12"/>
        <v>0</v>
      </c>
      <c r="P30" s="38">
        <f t="shared" si="10"/>
        <v>2493.1506849315069</v>
      </c>
      <c r="Q30" s="38">
        <f t="shared" si="13"/>
        <v>2493.1506849315069</v>
      </c>
      <c r="R30" s="38">
        <f t="shared" si="14"/>
        <v>2493.1506849315069</v>
      </c>
      <c r="S30" s="38">
        <f t="shared" si="1"/>
        <v>0</v>
      </c>
      <c r="T30" s="38">
        <f t="shared" si="2"/>
        <v>0</v>
      </c>
    </row>
    <row r="31" spans="1:20" ht="20.25" customHeight="1" x14ac:dyDescent="0.3">
      <c r="A31" s="62"/>
      <c r="B31" s="6">
        <f t="shared" si="3"/>
        <v>48853</v>
      </c>
      <c r="C31" s="117" t="str">
        <f t="shared" si="0"/>
        <v/>
      </c>
      <c r="D31" s="131">
        <f t="shared" si="4"/>
        <v>25400.25</v>
      </c>
      <c r="E31" s="131">
        <f t="shared" si="9"/>
        <v>25400.25</v>
      </c>
      <c r="F31" s="138">
        <f t="shared" si="11"/>
        <v>22893.400684931508</v>
      </c>
      <c r="G31" s="132">
        <f t="shared" si="5"/>
        <v>0</v>
      </c>
      <c r="H31" s="132">
        <f t="shared" si="6"/>
        <v>320.50760958904107</v>
      </c>
      <c r="I31" s="9">
        <f t="shared" si="7"/>
        <v>22572.893075342468</v>
      </c>
      <c r="J31" s="66"/>
      <c r="K31" s="11"/>
      <c r="L31" s="11"/>
      <c r="M31" s="6">
        <f t="shared" si="8"/>
        <v>48670</v>
      </c>
      <c r="N31" s="40" t="s">
        <v>66</v>
      </c>
      <c r="O31" s="38">
        <f t="shared" si="12"/>
        <v>0</v>
      </c>
      <c r="P31" s="38">
        <f t="shared" si="10"/>
        <v>2506.8493150684931</v>
      </c>
      <c r="Q31" s="38">
        <f t="shared" si="13"/>
        <v>2506.8493150684931</v>
      </c>
      <c r="R31" s="38">
        <f t="shared" si="14"/>
        <v>2506.8493150684931</v>
      </c>
      <c r="S31" s="38">
        <f t="shared" si="1"/>
        <v>0</v>
      </c>
      <c r="T31" s="38">
        <f t="shared" si="2"/>
        <v>0</v>
      </c>
    </row>
    <row r="32" spans="1:20" ht="20.25" customHeight="1" x14ac:dyDescent="0.3">
      <c r="A32" s="62"/>
      <c r="B32" s="6">
        <f t="shared" si="3"/>
        <v>49035</v>
      </c>
      <c r="C32" s="117" t="str">
        <f t="shared" si="0"/>
        <v/>
      </c>
      <c r="D32" s="131">
        <f t="shared" si="4"/>
        <v>25400.25</v>
      </c>
      <c r="E32" s="131">
        <f t="shared" si="9"/>
        <v>25400.25</v>
      </c>
      <c r="F32" s="138">
        <f t="shared" si="11"/>
        <v>22907.099315068492</v>
      </c>
      <c r="G32" s="132">
        <f t="shared" si="5"/>
        <v>0</v>
      </c>
      <c r="H32" s="132">
        <f t="shared" si="6"/>
        <v>320.69939041095887</v>
      </c>
      <c r="I32" s="9">
        <f t="shared" si="7"/>
        <v>22586.399924657533</v>
      </c>
      <c r="J32" s="66"/>
      <c r="K32" s="11"/>
      <c r="L32" s="11"/>
      <c r="M32" s="6">
        <f t="shared" si="8"/>
        <v>48853</v>
      </c>
      <c r="N32" s="40" t="s">
        <v>67</v>
      </c>
      <c r="O32" s="38">
        <f t="shared" si="12"/>
        <v>0</v>
      </c>
      <c r="P32" s="38">
        <f t="shared" si="10"/>
        <v>2493.1506849315069</v>
      </c>
      <c r="Q32" s="38">
        <f t="shared" si="13"/>
        <v>2493.1506849315069</v>
      </c>
      <c r="R32" s="38">
        <f t="shared" si="14"/>
        <v>2493.1506849315069</v>
      </c>
      <c r="S32" s="38">
        <f t="shared" si="1"/>
        <v>0</v>
      </c>
      <c r="T32" s="38">
        <f t="shared" si="2"/>
        <v>0</v>
      </c>
    </row>
    <row r="33" spans="1:20" ht="20.25" customHeight="1" x14ac:dyDescent="0.3">
      <c r="A33" s="62"/>
      <c r="B33" s="6">
        <f t="shared" si="3"/>
        <v>49218</v>
      </c>
      <c r="C33" s="117" t="str">
        <f t="shared" si="0"/>
        <v/>
      </c>
      <c r="D33" s="131">
        <f t="shared" si="4"/>
        <v>25400.25</v>
      </c>
      <c r="E33" s="131">
        <f t="shared" si="9"/>
        <v>25400.25</v>
      </c>
      <c r="F33" s="138">
        <f t="shared" si="11"/>
        <v>22893.400684931508</v>
      </c>
      <c r="G33" s="132">
        <f t="shared" si="5"/>
        <v>0</v>
      </c>
      <c r="H33" s="132">
        <f t="shared" si="6"/>
        <v>320.50760958904107</v>
      </c>
      <c r="I33" s="9">
        <f t="shared" si="7"/>
        <v>22572.893075342468</v>
      </c>
      <c r="J33" s="66"/>
      <c r="K33" s="11"/>
      <c r="L33" s="11"/>
      <c r="M33" s="6">
        <f t="shared" si="8"/>
        <v>49035</v>
      </c>
      <c r="N33" s="40" t="s">
        <v>68</v>
      </c>
      <c r="O33" s="38">
        <f t="shared" si="12"/>
        <v>0</v>
      </c>
      <c r="P33" s="38">
        <f t="shared" si="10"/>
        <v>2506.8493150684931</v>
      </c>
      <c r="Q33" s="38">
        <f t="shared" si="13"/>
        <v>2506.8493150684931</v>
      </c>
      <c r="R33" s="38">
        <f t="shared" si="14"/>
        <v>2506.8493150684931</v>
      </c>
      <c r="S33" s="38">
        <f t="shared" si="1"/>
        <v>0</v>
      </c>
      <c r="T33" s="38">
        <f t="shared" si="2"/>
        <v>0</v>
      </c>
    </row>
    <row r="34" spans="1:20" ht="20.25" customHeight="1" x14ac:dyDescent="0.3">
      <c r="A34" s="62"/>
      <c r="B34" s="6">
        <f t="shared" si="3"/>
        <v>49400</v>
      </c>
      <c r="C34" s="117" t="str">
        <f t="shared" si="0"/>
        <v/>
      </c>
      <c r="D34" s="131">
        <f t="shared" si="4"/>
        <v>25400.25</v>
      </c>
      <c r="E34" s="131">
        <f t="shared" si="9"/>
        <v>25400.25</v>
      </c>
      <c r="F34" s="138">
        <f t="shared" si="11"/>
        <v>22907.099315068492</v>
      </c>
      <c r="G34" s="132">
        <f t="shared" si="5"/>
        <v>0</v>
      </c>
      <c r="H34" s="132">
        <f t="shared" si="6"/>
        <v>320.69939041095887</v>
      </c>
      <c r="I34" s="9">
        <f t="shared" si="7"/>
        <v>22586.399924657533</v>
      </c>
      <c r="J34" s="66"/>
      <c r="K34" s="11"/>
      <c r="L34" s="11"/>
      <c r="M34" s="6">
        <f t="shared" si="8"/>
        <v>49218</v>
      </c>
      <c r="N34" s="40" t="s">
        <v>69</v>
      </c>
      <c r="O34" s="38">
        <f t="shared" si="12"/>
        <v>0</v>
      </c>
      <c r="P34" s="38">
        <f t="shared" si="10"/>
        <v>2493.1506849315069</v>
      </c>
      <c r="Q34" s="38">
        <f t="shared" si="13"/>
        <v>2493.1506849315069</v>
      </c>
      <c r="R34" s="38">
        <f t="shared" si="14"/>
        <v>2493.1506849315069</v>
      </c>
      <c r="S34" s="38">
        <f t="shared" si="1"/>
        <v>0</v>
      </c>
      <c r="T34" s="38">
        <f t="shared" si="2"/>
        <v>0</v>
      </c>
    </row>
    <row r="35" spans="1:20" ht="20.25" customHeight="1" x14ac:dyDescent="0.3">
      <c r="A35" s="62"/>
      <c r="B35" s="6">
        <f t="shared" si="3"/>
        <v>49583</v>
      </c>
      <c r="C35" s="117" t="str">
        <f t="shared" si="0"/>
        <v/>
      </c>
      <c r="D35" s="131">
        <f t="shared" si="4"/>
        <v>25400.25</v>
      </c>
      <c r="E35" s="131">
        <f t="shared" si="9"/>
        <v>25400.25</v>
      </c>
      <c r="F35" s="138">
        <f t="shared" si="11"/>
        <v>22893.400684931508</v>
      </c>
      <c r="G35" s="132">
        <f t="shared" si="5"/>
        <v>0</v>
      </c>
      <c r="H35" s="132">
        <f t="shared" si="6"/>
        <v>320.50760958904107</v>
      </c>
      <c r="I35" s="9">
        <f t="shared" si="7"/>
        <v>22572.893075342468</v>
      </c>
      <c r="J35" s="66"/>
      <c r="K35" s="11"/>
      <c r="L35" s="11"/>
      <c r="M35" s="6">
        <f t="shared" si="8"/>
        <v>49400</v>
      </c>
      <c r="N35" s="40" t="s">
        <v>70</v>
      </c>
      <c r="O35" s="38">
        <f t="shared" si="12"/>
        <v>0</v>
      </c>
      <c r="P35" s="38">
        <f t="shared" si="10"/>
        <v>2506.8493150684931</v>
      </c>
      <c r="Q35" s="38">
        <f t="shared" si="13"/>
        <v>2506.8493150684931</v>
      </c>
      <c r="R35" s="38">
        <f t="shared" si="14"/>
        <v>2506.8493150684931</v>
      </c>
      <c r="S35" s="38">
        <f t="shared" si="1"/>
        <v>0</v>
      </c>
      <c r="T35" s="38">
        <f t="shared" si="2"/>
        <v>0</v>
      </c>
    </row>
    <row r="36" spans="1:20" ht="20.25" customHeight="1" x14ac:dyDescent="0.3">
      <c r="A36" s="62"/>
      <c r="B36" s="6">
        <f t="shared" si="3"/>
        <v>49766</v>
      </c>
      <c r="C36" s="117" t="str">
        <f t="shared" si="0"/>
        <v/>
      </c>
      <c r="D36" s="131">
        <f t="shared" si="4"/>
        <v>25400.25</v>
      </c>
      <c r="E36" s="131">
        <f t="shared" si="9"/>
        <v>25400.25</v>
      </c>
      <c r="F36" s="138">
        <f t="shared" si="11"/>
        <v>22893.400684931508</v>
      </c>
      <c r="G36" s="132">
        <f t="shared" si="5"/>
        <v>0</v>
      </c>
      <c r="H36" s="132">
        <f t="shared" si="6"/>
        <v>320.50760958904107</v>
      </c>
      <c r="I36" s="9">
        <f t="shared" si="7"/>
        <v>22572.893075342468</v>
      </c>
      <c r="J36" s="66"/>
      <c r="K36" s="11"/>
      <c r="L36" s="11"/>
      <c r="M36" s="6">
        <f t="shared" si="8"/>
        <v>49583</v>
      </c>
      <c r="N36" s="40" t="s">
        <v>71</v>
      </c>
      <c r="O36" s="38">
        <f t="shared" si="12"/>
        <v>0</v>
      </c>
      <c r="P36" s="38">
        <f t="shared" si="10"/>
        <v>2506.8493150684931</v>
      </c>
      <c r="Q36" s="38">
        <f t="shared" si="13"/>
        <v>2506.8493150684931</v>
      </c>
      <c r="R36" s="38">
        <f t="shared" si="14"/>
        <v>2506.8493150684931</v>
      </c>
      <c r="S36" s="38">
        <f t="shared" si="1"/>
        <v>0</v>
      </c>
      <c r="T36" s="38">
        <f t="shared" si="2"/>
        <v>0</v>
      </c>
    </row>
    <row r="37" spans="1:20" ht="20.25" customHeight="1" x14ac:dyDescent="0.3">
      <c r="A37" s="62"/>
      <c r="B37" s="6">
        <f t="shared" si="3"/>
        <v>49949</v>
      </c>
      <c r="C37" s="117" t="str">
        <f t="shared" si="0"/>
        <v/>
      </c>
      <c r="D37" s="131">
        <f t="shared" si="4"/>
        <v>25400.25</v>
      </c>
      <c r="E37" s="131">
        <f t="shared" si="9"/>
        <v>25400.25</v>
      </c>
      <c r="F37" s="138">
        <f t="shared" si="11"/>
        <v>22893.400684931508</v>
      </c>
      <c r="G37" s="132">
        <f t="shared" si="5"/>
        <v>0</v>
      </c>
      <c r="H37" s="132">
        <f t="shared" si="6"/>
        <v>320.50760958904107</v>
      </c>
      <c r="I37" s="9">
        <f t="shared" si="7"/>
        <v>22572.893075342468</v>
      </c>
      <c r="J37" s="66"/>
      <c r="K37" s="11"/>
      <c r="L37" s="11"/>
      <c r="M37" s="6">
        <f t="shared" si="8"/>
        <v>49766</v>
      </c>
      <c r="N37" s="40" t="s">
        <v>72</v>
      </c>
      <c r="O37" s="38">
        <f t="shared" si="12"/>
        <v>0</v>
      </c>
      <c r="P37" s="38">
        <f t="shared" si="10"/>
        <v>2506.8493150684931</v>
      </c>
      <c r="Q37" s="38">
        <f t="shared" si="13"/>
        <v>2506.8493150684931</v>
      </c>
      <c r="R37" s="38">
        <f t="shared" si="14"/>
        <v>2506.8493150684931</v>
      </c>
      <c r="S37" s="38">
        <f t="shared" si="1"/>
        <v>0</v>
      </c>
      <c r="T37" s="38">
        <f t="shared" si="2"/>
        <v>0</v>
      </c>
    </row>
    <row r="38" spans="1:20" ht="20.25" customHeight="1" x14ac:dyDescent="0.3">
      <c r="A38" s="62"/>
      <c r="B38" s="6">
        <f t="shared" si="3"/>
        <v>50131</v>
      </c>
      <c r="C38" s="117" t="str">
        <f t="shared" si="0"/>
        <v/>
      </c>
      <c r="D38" s="131">
        <f t="shared" si="4"/>
        <v>25400.25</v>
      </c>
      <c r="E38" s="131">
        <f t="shared" si="9"/>
        <v>25400.25</v>
      </c>
      <c r="F38" s="138">
        <f t="shared" si="11"/>
        <v>22907.099315068492</v>
      </c>
      <c r="G38" s="132">
        <f t="shared" si="5"/>
        <v>0</v>
      </c>
      <c r="H38" s="132">
        <f t="shared" si="6"/>
        <v>320.69939041095887</v>
      </c>
      <c r="I38" s="9">
        <f t="shared" si="7"/>
        <v>22586.399924657533</v>
      </c>
      <c r="J38" s="66"/>
      <c r="K38" s="11"/>
      <c r="L38" s="11"/>
      <c r="M38" s="6">
        <f t="shared" si="8"/>
        <v>49949</v>
      </c>
      <c r="N38" s="40" t="s">
        <v>73</v>
      </c>
      <c r="O38" s="38">
        <f t="shared" si="12"/>
        <v>0</v>
      </c>
      <c r="P38" s="38">
        <f t="shared" si="10"/>
        <v>2493.1506849315069</v>
      </c>
      <c r="Q38" s="38">
        <f t="shared" si="13"/>
        <v>2493.1506849315069</v>
      </c>
      <c r="R38" s="38">
        <f t="shared" si="14"/>
        <v>2493.1506849315069</v>
      </c>
      <c r="S38" s="38">
        <f t="shared" si="1"/>
        <v>0</v>
      </c>
      <c r="T38" s="38">
        <f t="shared" si="2"/>
        <v>0</v>
      </c>
    </row>
    <row r="39" spans="1:20" ht="20.25" customHeight="1" x14ac:dyDescent="0.3">
      <c r="A39" s="62"/>
      <c r="B39" s="6">
        <f t="shared" si="3"/>
        <v>50314</v>
      </c>
      <c r="C39" s="117" t="str">
        <f t="shared" si="0"/>
        <v/>
      </c>
      <c r="D39" s="131">
        <f t="shared" si="4"/>
        <v>25400.25</v>
      </c>
      <c r="E39" s="131">
        <f t="shared" si="9"/>
        <v>25400.25</v>
      </c>
      <c r="F39" s="138">
        <f t="shared" si="11"/>
        <v>22893.400684931508</v>
      </c>
      <c r="G39" s="132">
        <f t="shared" si="5"/>
        <v>0</v>
      </c>
      <c r="H39" s="132">
        <f t="shared" si="6"/>
        <v>320.50760958904107</v>
      </c>
      <c r="I39" s="9">
        <f t="shared" si="7"/>
        <v>22572.893075342468</v>
      </c>
      <c r="J39" s="66"/>
      <c r="K39" s="11"/>
      <c r="L39" s="11"/>
      <c r="M39" s="6">
        <f t="shared" si="8"/>
        <v>50131</v>
      </c>
      <c r="N39" s="40" t="s">
        <v>74</v>
      </c>
      <c r="O39" s="38">
        <f t="shared" si="12"/>
        <v>0</v>
      </c>
      <c r="P39" s="38">
        <f t="shared" si="10"/>
        <v>2506.8493150684931</v>
      </c>
      <c r="Q39" s="38">
        <f t="shared" si="13"/>
        <v>2506.8493150684931</v>
      </c>
      <c r="R39" s="38">
        <f t="shared" si="14"/>
        <v>2506.8493150684931</v>
      </c>
      <c r="S39" s="38">
        <f t="shared" si="1"/>
        <v>0</v>
      </c>
      <c r="T39" s="38">
        <f t="shared" si="2"/>
        <v>0</v>
      </c>
    </row>
    <row r="40" spans="1:20" ht="20.25" customHeight="1" x14ac:dyDescent="0.3">
      <c r="A40" s="62"/>
      <c r="B40" s="6">
        <f t="shared" si="3"/>
        <v>50496</v>
      </c>
      <c r="C40" s="117" t="str">
        <f t="shared" si="0"/>
        <v/>
      </c>
      <c r="D40" s="131">
        <f t="shared" si="4"/>
        <v>25400.25</v>
      </c>
      <c r="E40" s="131">
        <f t="shared" si="9"/>
        <v>25400.25</v>
      </c>
      <c r="F40" s="138">
        <f t="shared" si="11"/>
        <v>22907.099315068492</v>
      </c>
      <c r="G40" s="132">
        <f t="shared" si="5"/>
        <v>0</v>
      </c>
      <c r="H40" s="132">
        <f t="shared" si="6"/>
        <v>320.69939041095887</v>
      </c>
      <c r="I40" s="9">
        <f t="shared" si="7"/>
        <v>22586.399924657533</v>
      </c>
      <c r="J40" s="66"/>
      <c r="K40" s="11"/>
      <c r="L40" s="11"/>
      <c r="M40" s="6">
        <f t="shared" si="8"/>
        <v>50314</v>
      </c>
      <c r="N40" s="40" t="s">
        <v>75</v>
      </c>
      <c r="O40" s="38">
        <f t="shared" si="12"/>
        <v>0</v>
      </c>
      <c r="P40" s="38">
        <f t="shared" si="10"/>
        <v>2493.1506849315069</v>
      </c>
      <c r="Q40" s="38">
        <f t="shared" si="13"/>
        <v>2493.1506849315069</v>
      </c>
      <c r="R40" s="38">
        <f t="shared" si="14"/>
        <v>2493.1506849315069</v>
      </c>
      <c r="S40" s="38">
        <f t="shared" si="1"/>
        <v>0</v>
      </c>
      <c r="T40" s="38">
        <f t="shared" si="2"/>
        <v>0</v>
      </c>
    </row>
    <row r="41" spans="1:20" ht="20.25" customHeight="1" x14ac:dyDescent="0.3">
      <c r="A41" s="62"/>
      <c r="B41" s="6">
        <f t="shared" si="3"/>
        <v>50679</v>
      </c>
      <c r="C41" s="117" t="str">
        <f t="shared" si="0"/>
        <v/>
      </c>
      <c r="D41" s="131">
        <f t="shared" si="4"/>
        <v>25400.25</v>
      </c>
      <c r="E41" s="131">
        <f t="shared" si="9"/>
        <v>25400.25</v>
      </c>
      <c r="F41" s="138">
        <f t="shared" si="11"/>
        <v>22893.400684931508</v>
      </c>
      <c r="G41" s="132">
        <f t="shared" si="5"/>
        <v>0</v>
      </c>
      <c r="H41" s="132">
        <f t="shared" si="6"/>
        <v>320.50760958904107</v>
      </c>
      <c r="I41" s="9">
        <f t="shared" si="7"/>
        <v>22572.893075342468</v>
      </c>
      <c r="J41" s="66"/>
      <c r="K41" s="11"/>
      <c r="L41" s="11"/>
      <c r="M41" s="6">
        <f t="shared" si="8"/>
        <v>50496</v>
      </c>
      <c r="N41" s="40" t="s">
        <v>76</v>
      </c>
      <c r="O41" s="38">
        <f t="shared" si="12"/>
        <v>0</v>
      </c>
      <c r="P41" s="38">
        <f t="shared" si="10"/>
        <v>2506.8493150684931</v>
      </c>
      <c r="Q41" s="38">
        <f t="shared" si="13"/>
        <v>2506.8493150684931</v>
      </c>
      <c r="R41" s="38">
        <f t="shared" si="14"/>
        <v>2506.8493150684931</v>
      </c>
      <c r="S41" s="38">
        <f t="shared" si="1"/>
        <v>0</v>
      </c>
      <c r="T41" s="38">
        <f t="shared" si="2"/>
        <v>0</v>
      </c>
    </row>
    <row r="42" spans="1:20" ht="20.25" customHeight="1" x14ac:dyDescent="0.3">
      <c r="A42" s="62"/>
      <c r="B42" s="6">
        <f t="shared" si="3"/>
        <v>50861</v>
      </c>
      <c r="C42" s="117" t="str">
        <f t="shared" si="0"/>
        <v/>
      </c>
      <c r="D42" s="131">
        <f t="shared" si="4"/>
        <v>25400.25</v>
      </c>
      <c r="E42" s="131">
        <f t="shared" si="9"/>
        <v>25400.25</v>
      </c>
      <c r="F42" s="138">
        <f t="shared" si="11"/>
        <v>22907.099315068492</v>
      </c>
      <c r="G42" s="132">
        <f t="shared" si="5"/>
        <v>0</v>
      </c>
      <c r="H42" s="132">
        <f t="shared" si="6"/>
        <v>320.69939041095887</v>
      </c>
      <c r="I42" s="9">
        <f t="shared" si="7"/>
        <v>22586.399924657533</v>
      </c>
      <c r="J42" s="66"/>
      <c r="K42" s="11"/>
      <c r="L42" s="11"/>
      <c r="M42" s="6">
        <f t="shared" si="8"/>
        <v>50679</v>
      </c>
      <c r="N42" s="40" t="s">
        <v>77</v>
      </c>
      <c r="O42" s="38">
        <f t="shared" si="12"/>
        <v>0</v>
      </c>
      <c r="P42" s="38">
        <f t="shared" si="10"/>
        <v>2493.1506849315069</v>
      </c>
      <c r="Q42" s="38">
        <f t="shared" si="13"/>
        <v>2493.1506849315069</v>
      </c>
      <c r="R42" s="38">
        <f t="shared" si="14"/>
        <v>2493.1506849315069</v>
      </c>
      <c r="S42" s="38">
        <f t="shared" si="1"/>
        <v>0</v>
      </c>
      <c r="T42" s="38">
        <f t="shared" si="2"/>
        <v>0</v>
      </c>
    </row>
    <row r="43" spans="1:20" ht="20.25" customHeight="1" x14ac:dyDescent="0.3">
      <c r="A43" s="62"/>
      <c r="B43" s="6">
        <f t="shared" si="3"/>
        <v>51044</v>
      </c>
      <c r="C43" s="117" t="str">
        <f t="shared" si="0"/>
        <v/>
      </c>
      <c r="D43" s="131">
        <f t="shared" si="4"/>
        <v>25400.25</v>
      </c>
      <c r="E43" s="131">
        <f t="shared" si="9"/>
        <v>25400.25</v>
      </c>
      <c r="F43" s="138">
        <f t="shared" si="11"/>
        <v>22893.400684931508</v>
      </c>
      <c r="G43" s="132">
        <f t="shared" si="5"/>
        <v>0</v>
      </c>
      <c r="H43" s="132">
        <f t="shared" si="6"/>
        <v>320.50760958904107</v>
      </c>
      <c r="I43" s="9">
        <f t="shared" si="7"/>
        <v>22572.893075342468</v>
      </c>
      <c r="J43" s="66"/>
      <c r="K43" s="11"/>
      <c r="L43" s="11"/>
      <c r="M43" s="6">
        <f t="shared" si="8"/>
        <v>50861</v>
      </c>
      <c r="N43" s="40" t="s">
        <v>78</v>
      </c>
      <c r="O43" s="38">
        <f t="shared" si="12"/>
        <v>0</v>
      </c>
      <c r="P43" s="38">
        <f t="shared" si="10"/>
        <v>2506.8493150684931</v>
      </c>
      <c r="Q43" s="38">
        <f t="shared" si="13"/>
        <v>2506.8493150684931</v>
      </c>
      <c r="R43" s="38">
        <f t="shared" si="14"/>
        <v>2506.8493150684931</v>
      </c>
      <c r="S43" s="38">
        <f t="shared" si="1"/>
        <v>0</v>
      </c>
      <c r="T43" s="38">
        <f t="shared" si="2"/>
        <v>0</v>
      </c>
    </row>
    <row r="44" spans="1:20" ht="20.25" customHeight="1" x14ac:dyDescent="0.3">
      <c r="A44" s="62"/>
      <c r="B44" s="6">
        <f t="shared" si="3"/>
        <v>51227</v>
      </c>
      <c r="C44" s="117" t="str">
        <f t="shared" si="0"/>
        <v/>
      </c>
      <c r="D44" s="131">
        <f t="shared" si="4"/>
        <v>25400.25</v>
      </c>
      <c r="E44" s="131">
        <f t="shared" si="9"/>
        <v>25400.25</v>
      </c>
      <c r="F44" s="138">
        <f t="shared" si="11"/>
        <v>22893.400684931508</v>
      </c>
      <c r="G44" s="132">
        <f t="shared" si="5"/>
        <v>0</v>
      </c>
      <c r="H44" s="132">
        <f t="shared" si="6"/>
        <v>320.50760958904107</v>
      </c>
      <c r="I44" s="9">
        <f t="shared" si="7"/>
        <v>22572.893075342468</v>
      </c>
      <c r="J44" s="66"/>
      <c r="K44" s="11"/>
      <c r="L44" s="11"/>
      <c r="M44" s="6">
        <f t="shared" si="8"/>
        <v>51044</v>
      </c>
      <c r="N44" s="40" t="s">
        <v>79</v>
      </c>
      <c r="O44" s="38">
        <f t="shared" si="12"/>
        <v>0</v>
      </c>
      <c r="P44" s="38">
        <f t="shared" si="10"/>
        <v>2506.8493150684931</v>
      </c>
      <c r="Q44" s="38">
        <f t="shared" si="13"/>
        <v>2506.8493150684931</v>
      </c>
      <c r="R44" s="38">
        <f t="shared" si="14"/>
        <v>2506.8493150684931</v>
      </c>
      <c r="S44" s="38">
        <f t="shared" si="1"/>
        <v>0</v>
      </c>
      <c r="T44" s="38">
        <f t="shared" si="2"/>
        <v>0</v>
      </c>
    </row>
    <row r="45" spans="1:20" ht="20.25" customHeight="1" x14ac:dyDescent="0.3">
      <c r="A45" s="62"/>
      <c r="B45" s="6">
        <f t="shared" si="3"/>
        <v>51410</v>
      </c>
      <c r="C45" s="117" t="str">
        <f t="shared" si="0"/>
        <v/>
      </c>
      <c r="D45" s="131">
        <f t="shared" si="4"/>
        <v>25400.25</v>
      </c>
      <c r="E45" s="131">
        <f t="shared" si="9"/>
        <v>25400.25</v>
      </c>
      <c r="F45" s="138">
        <f t="shared" si="11"/>
        <v>22893.400684931508</v>
      </c>
      <c r="G45" s="132">
        <f t="shared" si="5"/>
        <v>0</v>
      </c>
      <c r="H45" s="132">
        <f t="shared" si="6"/>
        <v>320.50760958904107</v>
      </c>
      <c r="I45" s="9">
        <f t="shared" si="7"/>
        <v>22572.893075342468</v>
      </c>
      <c r="J45" s="66"/>
      <c r="K45" s="11"/>
      <c r="L45" s="11"/>
      <c r="M45" s="6">
        <f t="shared" si="8"/>
        <v>51227</v>
      </c>
      <c r="N45" s="40" t="s">
        <v>80</v>
      </c>
      <c r="O45" s="38">
        <f t="shared" si="12"/>
        <v>0</v>
      </c>
      <c r="P45" s="38">
        <f t="shared" si="10"/>
        <v>2506.8493150684931</v>
      </c>
      <c r="Q45" s="38">
        <f t="shared" si="13"/>
        <v>2506.8493150684931</v>
      </c>
      <c r="R45" s="38">
        <f t="shared" si="14"/>
        <v>2506.8493150684931</v>
      </c>
      <c r="S45" s="38">
        <f t="shared" si="1"/>
        <v>0</v>
      </c>
      <c r="T45" s="38">
        <f t="shared" si="2"/>
        <v>0</v>
      </c>
    </row>
    <row r="46" spans="1:20" ht="20.25" customHeight="1" x14ac:dyDescent="0.3">
      <c r="A46" s="62"/>
      <c r="B46" s="6">
        <f t="shared" si="3"/>
        <v>51592</v>
      </c>
      <c r="C46" s="117" t="str">
        <f t="shared" si="0"/>
        <v/>
      </c>
      <c r="D46" s="131">
        <f t="shared" si="4"/>
        <v>25400.25</v>
      </c>
      <c r="E46" s="131">
        <f t="shared" si="9"/>
        <v>25400.25</v>
      </c>
      <c r="F46" s="138">
        <f t="shared" si="11"/>
        <v>22907.099315068492</v>
      </c>
      <c r="G46" s="132">
        <f t="shared" si="5"/>
        <v>0</v>
      </c>
      <c r="H46" s="132">
        <f t="shared" si="6"/>
        <v>320.69939041095887</v>
      </c>
      <c r="I46" s="9">
        <f t="shared" si="7"/>
        <v>22586.399924657533</v>
      </c>
      <c r="J46" s="66"/>
      <c r="K46" s="11"/>
      <c r="L46" s="11"/>
      <c r="M46" s="6">
        <f t="shared" si="8"/>
        <v>51410</v>
      </c>
      <c r="N46" s="40" t="s">
        <v>81</v>
      </c>
      <c r="O46" s="38">
        <f t="shared" si="12"/>
        <v>0</v>
      </c>
      <c r="P46" s="38">
        <f t="shared" si="10"/>
        <v>2493.1506849315069</v>
      </c>
      <c r="Q46" s="38">
        <f t="shared" si="13"/>
        <v>2493.1506849315069</v>
      </c>
      <c r="R46" s="38">
        <f t="shared" si="14"/>
        <v>2493.1506849315069</v>
      </c>
      <c r="S46" s="38">
        <f t="shared" si="1"/>
        <v>0</v>
      </c>
      <c r="T46" s="38">
        <f t="shared" si="2"/>
        <v>0</v>
      </c>
    </row>
    <row r="47" spans="1:20" ht="20.25" customHeight="1" x14ac:dyDescent="0.3">
      <c r="A47" s="62"/>
      <c r="B47" s="6">
        <f t="shared" si="3"/>
        <v>51775</v>
      </c>
      <c r="C47" s="117" t="str">
        <f t="shared" si="0"/>
        <v/>
      </c>
      <c r="D47" s="131">
        <f t="shared" si="4"/>
        <v>25400.25</v>
      </c>
      <c r="E47" s="131">
        <f t="shared" si="9"/>
        <v>25400.25</v>
      </c>
      <c r="F47" s="138">
        <f t="shared" si="11"/>
        <v>22893.400684931508</v>
      </c>
      <c r="G47" s="132">
        <f t="shared" si="5"/>
        <v>0</v>
      </c>
      <c r="H47" s="132">
        <f t="shared" si="6"/>
        <v>320.50760958904107</v>
      </c>
      <c r="I47" s="9">
        <f t="shared" si="7"/>
        <v>22572.893075342468</v>
      </c>
      <c r="J47" s="66"/>
      <c r="K47" s="11"/>
      <c r="L47" s="11"/>
      <c r="M47" s="6">
        <f t="shared" si="8"/>
        <v>51592</v>
      </c>
      <c r="N47" s="40" t="s">
        <v>82</v>
      </c>
      <c r="O47" s="38">
        <f t="shared" si="12"/>
        <v>0</v>
      </c>
      <c r="P47" s="38">
        <f t="shared" si="10"/>
        <v>2506.8493150684931</v>
      </c>
      <c r="Q47" s="38">
        <f t="shared" si="13"/>
        <v>2506.8493150684931</v>
      </c>
      <c r="R47" s="38">
        <f t="shared" si="14"/>
        <v>2506.8493150684931</v>
      </c>
      <c r="S47" s="38">
        <f t="shared" si="1"/>
        <v>0</v>
      </c>
      <c r="T47" s="38">
        <f t="shared" si="2"/>
        <v>0</v>
      </c>
    </row>
    <row r="48" spans="1:20" ht="20.25" customHeight="1" x14ac:dyDescent="0.3">
      <c r="A48" s="62"/>
      <c r="B48" s="6">
        <f t="shared" si="3"/>
        <v>51957</v>
      </c>
      <c r="C48" s="117" t="str">
        <f t="shared" si="0"/>
        <v/>
      </c>
      <c r="D48" s="131">
        <f t="shared" si="4"/>
        <v>25400.25</v>
      </c>
      <c r="E48" s="131">
        <f t="shared" si="9"/>
        <v>25400.25</v>
      </c>
      <c r="F48" s="138">
        <f t="shared" si="11"/>
        <v>22907.099315068492</v>
      </c>
      <c r="G48" s="132">
        <f t="shared" si="5"/>
        <v>0</v>
      </c>
      <c r="H48" s="132">
        <f t="shared" si="6"/>
        <v>320.69939041095887</v>
      </c>
      <c r="I48" s="9">
        <f t="shared" si="7"/>
        <v>22586.399924657533</v>
      </c>
      <c r="J48" s="66"/>
      <c r="K48" s="11"/>
      <c r="L48" s="11"/>
      <c r="M48" s="6">
        <f t="shared" si="8"/>
        <v>51775</v>
      </c>
      <c r="N48" s="40" t="s">
        <v>83</v>
      </c>
      <c r="O48" s="38">
        <f t="shared" si="12"/>
        <v>0</v>
      </c>
      <c r="P48" s="38">
        <f t="shared" si="10"/>
        <v>2493.1506849315069</v>
      </c>
      <c r="Q48" s="38">
        <f t="shared" si="13"/>
        <v>2493.1506849315069</v>
      </c>
      <c r="R48" s="38">
        <f t="shared" si="14"/>
        <v>2493.1506849315069</v>
      </c>
      <c r="S48" s="38">
        <f t="shared" si="1"/>
        <v>0</v>
      </c>
      <c r="T48" s="38">
        <f t="shared" si="2"/>
        <v>0</v>
      </c>
    </row>
    <row r="49" spans="1:20" ht="20.25" customHeight="1" x14ac:dyDescent="0.3">
      <c r="A49" s="62"/>
      <c r="B49" s="6">
        <f t="shared" si="3"/>
        <v>52140</v>
      </c>
      <c r="C49" s="117" t="str">
        <f t="shared" si="0"/>
        <v/>
      </c>
      <c r="D49" s="131">
        <f t="shared" si="4"/>
        <v>25400.25</v>
      </c>
      <c r="E49" s="131">
        <f t="shared" si="9"/>
        <v>25400.25</v>
      </c>
      <c r="F49" s="138">
        <f t="shared" si="11"/>
        <v>22893.400684931508</v>
      </c>
      <c r="G49" s="132">
        <f t="shared" si="5"/>
        <v>0</v>
      </c>
      <c r="H49" s="132">
        <f t="shared" si="6"/>
        <v>320.50760958904107</v>
      </c>
      <c r="I49" s="9">
        <f t="shared" si="7"/>
        <v>22572.893075342468</v>
      </c>
      <c r="J49" s="66"/>
      <c r="K49" s="11"/>
      <c r="L49" s="11"/>
      <c r="M49" s="6">
        <f t="shared" si="8"/>
        <v>51957</v>
      </c>
      <c r="N49" s="40" t="s">
        <v>84</v>
      </c>
      <c r="O49" s="38">
        <f t="shared" si="12"/>
        <v>0</v>
      </c>
      <c r="P49" s="38">
        <f t="shared" si="10"/>
        <v>2506.8493150684931</v>
      </c>
      <c r="Q49" s="38">
        <f t="shared" si="13"/>
        <v>2506.8493150684931</v>
      </c>
      <c r="R49" s="38">
        <f t="shared" si="14"/>
        <v>2506.8493150684931</v>
      </c>
      <c r="S49" s="38">
        <f t="shared" si="1"/>
        <v>0</v>
      </c>
      <c r="T49" s="38">
        <f t="shared" si="2"/>
        <v>0</v>
      </c>
    </row>
    <row r="50" spans="1:20" ht="20.25" customHeight="1" x14ac:dyDescent="0.3">
      <c r="A50" s="62"/>
      <c r="B50" s="6">
        <f t="shared" si="3"/>
        <v>52322</v>
      </c>
      <c r="C50" s="117" t="str">
        <f t="shared" si="0"/>
        <v/>
      </c>
      <c r="D50" s="131">
        <f t="shared" si="4"/>
        <v>25400.25</v>
      </c>
      <c r="E50" s="131">
        <f t="shared" si="9"/>
        <v>25400.25</v>
      </c>
      <c r="F50" s="138">
        <f t="shared" si="11"/>
        <v>22907.099315068492</v>
      </c>
      <c r="G50" s="132">
        <f t="shared" si="5"/>
        <v>0</v>
      </c>
      <c r="H50" s="132">
        <f t="shared" si="6"/>
        <v>320.69939041095887</v>
      </c>
      <c r="I50" s="9">
        <f t="shared" si="7"/>
        <v>22586.399924657533</v>
      </c>
      <c r="J50" s="66"/>
      <c r="K50" s="11"/>
      <c r="L50" s="11"/>
      <c r="M50" s="6">
        <f t="shared" si="8"/>
        <v>52140</v>
      </c>
      <c r="N50" s="40" t="s">
        <v>85</v>
      </c>
      <c r="O50" s="38">
        <f t="shared" si="12"/>
        <v>0</v>
      </c>
      <c r="P50" s="38">
        <f t="shared" si="10"/>
        <v>2493.1506849315069</v>
      </c>
      <c r="Q50" s="38">
        <f t="shared" si="13"/>
        <v>2493.1506849315069</v>
      </c>
      <c r="R50" s="38">
        <f t="shared" si="14"/>
        <v>2493.1506849315069</v>
      </c>
      <c r="S50" s="38">
        <f t="shared" si="1"/>
        <v>0</v>
      </c>
      <c r="T50" s="38">
        <f t="shared" si="2"/>
        <v>0</v>
      </c>
    </row>
    <row r="51" spans="1:20" ht="20.25" customHeight="1" x14ac:dyDescent="0.3">
      <c r="A51" s="62"/>
      <c r="B51" s="6">
        <f t="shared" si="3"/>
        <v>52505</v>
      </c>
      <c r="C51" s="117" t="str">
        <f t="shared" si="0"/>
        <v/>
      </c>
      <c r="D51" s="131">
        <f t="shared" si="4"/>
        <v>25400.25</v>
      </c>
      <c r="E51" s="131">
        <f t="shared" si="9"/>
        <v>25400.25</v>
      </c>
      <c r="F51" s="138">
        <f t="shared" si="11"/>
        <v>22893.400684931508</v>
      </c>
      <c r="G51" s="132">
        <f t="shared" si="5"/>
        <v>0</v>
      </c>
      <c r="H51" s="132">
        <f t="shared" si="6"/>
        <v>320.50760958904107</v>
      </c>
      <c r="I51" s="9">
        <f t="shared" si="7"/>
        <v>22572.893075342468</v>
      </c>
      <c r="J51" s="66"/>
      <c r="K51" s="11"/>
      <c r="L51" s="11"/>
      <c r="M51" s="6">
        <f t="shared" si="8"/>
        <v>52322</v>
      </c>
      <c r="N51" s="40" t="s">
        <v>86</v>
      </c>
      <c r="O51" s="38">
        <f t="shared" si="12"/>
        <v>0</v>
      </c>
      <c r="P51" s="38">
        <f t="shared" si="10"/>
        <v>2506.8493150684931</v>
      </c>
      <c r="Q51" s="38">
        <f t="shared" si="13"/>
        <v>2506.8493150684931</v>
      </c>
      <c r="R51" s="38">
        <f t="shared" si="14"/>
        <v>2506.8493150684931</v>
      </c>
      <c r="S51" s="38">
        <f t="shared" si="1"/>
        <v>0</v>
      </c>
      <c r="T51" s="38">
        <f t="shared" si="2"/>
        <v>0</v>
      </c>
    </row>
    <row r="52" spans="1:20" ht="20.25" customHeight="1" x14ac:dyDescent="0.3">
      <c r="A52" s="62"/>
      <c r="B52" s="6">
        <f t="shared" si="3"/>
        <v>52688</v>
      </c>
      <c r="C52" s="117" t="str">
        <f t="shared" si="0"/>
        <v/>
      </c>
      <c r="D52" s="131">
        <f t="shared" si="4"/>
        <v>25400.25</v>
      </c>
      <c r="E52" s="131">
        <f t="shared" si="9"/>
        <v>25400.25</v>
      </c>
      <c r="F52" s="138">
        <f t="shared" si="11"/>
        <v>22893.400684931508</v>
      </c>
      <c r="G52" s="132">
        <f t="shared" si="5"/>
        <v>0</v>
      </c>
      <c r="H52" s="132">
        <f t="shared" si="6"/>
        <v>320.50760958904107</v>
      </c>
      <c r="I52" s="9">
        <f t="shared" si="7"/>
        <v>22572.893075342468</v>
      </c>
      <c r="J52" s="66"/>
      <c r="K52" s="11"/>
      <c r="L52" s="11"/>
      <c r="M52" s="6">
        <f t="shared" si="8"/>
        <v>52505</v>
      </c>
      <c r="N52" s="40" t="s">
        <v>87</v>
      </c>
      <c r="O52" s="38">
        <f t="shared" si="12"/>
        <v>0</v>
      </c>
      <c r="P52" s="38">
        <f t="shared" si="10"/>
        <v>2506.8493150684931</v>
      </c>
      <c r="Q52" s="38">
        <f t="shared" si="13"/>
        <v>2506.8493150684931</v>
      </c>
      <c r="R52" s="38">
        <f t="shared" si="14"/>
        <v>2506.8493150684931</v>
      </c>
      <c r="S52" s="38">
        <f t="shared" si="1"/>
        <v>0</v>
      </c>
      <c r="T52" s="38">
        <f t="shared" si="2"/>
        <v>0</v>
      </c>
    </row>
    <row r="53" spans="1:20" ht="20.25" customHeight="1" x14ac:dyDescent="0.3">
      <c r="A53" s="62"/>
      <c r="B53" s="6">
        <f t="shared" si="3"/>
        <v>52871</v>
      </c>
      <c r="C53" s="117" t="str">
        <f t="shared" si="0"/>
        <v/>
      </c>
      <c r="D53" s="131">
        <f t="shared" si="4"/>
        <v>25400.25</v>
      </c>
      <c r="E53" s="131">
        <f t="shared" si="9"/>
        <v>25400.25</v>
      </c>
      <c r="F53" s="138">
        <f t="shared" si="11"/>
        <v>22893.400684931508</v>
      </c>
      <c r="G53" s="132">
        <f t="shared" si="5"/>
        <v>0</v>
      </c>
      <c r="H53" s="132">
        <f t="shared" si="6"/>
        <v>320.50760958904107</v>
      </c>
      <c r="I53" s="9">
        <f t="shared" si="7"/>
        <v>22572.893075342468</v>
      </c>
      <c r="J53" s="66"/>
      <c r="K53" s="11"/>
      <c r="L53" s="11"/>
      <c r="M53" s="6">
        <f t="shared" si="8"/>
        <v>52688</v>
      </c>
      <c r="N53" s="40" t="s">
        <v>88</v>
      </c>
      <c r="O53" s="38">
        <f t="shared" si="12"/>
        <v>0</v>
      </c>
      <c r="P53" s="38">
        <f t="shared" si="10"/>
        <v>2506.8493150684931</v>
      </c>
      <c r="Q53" s="38">
        <f t="shared" si="13"/>
        <v>2506.8493150684931</v>
      </c>
      <c r="R53" s="38">
        <f t="shared" si="14"/>
        <v>2506.8493150684931</v>
      </c>
      <c r="S53" s="38">
        <f t="shared" si="1"/>
        <v>0</v>
      </c>
      <c r="T53" s="38">
        <f t="shared" si="2"/>
        <v>0</v>
      </c>
    </row>
    <row r="54" spans="1:20" ht="20.25" customHeight="1" x14ac:dyDescent="0.3">
      <c r="A54" s="62"/>
      <c r="B54" s="6">
        <f t="shared" si="3"/>
        <v>53053</v>
      </c>
      <c r="C54" s="117" t="str">
        <f t="shared" si="0"/>
        <v/>
      </c>
      <c r="D54" s="131">
        <f t="shared" si="4"/>
        <v>25400.25</v>
      </c>
      <c r="E54" s="131">
        <f t="shared" si="9"/>
        <v>25400.25</v>
      </c>
      <c r="F54" s="138">
        <f t="shared" si="11"/>
        <v>22907.099315068492</v>
      </c>
      <c r="G54" s="132">
        <f t="shared" si="5"/>
        <v>0</v>
      </c>
      <c r="H54" s="132">
        <f t="shared" si="6"/>
        <v>320.69939041095887</v>
      </c>
      <c r="I54" s="9">
        <f t="shared" si="7"/>
        <v>22586.399924657533</v>
      </c>
      <c r="J54" s="66"/>
      <c r="K54" s="11"/>
      <c r="L54" s="11"/>
      <c r="M54" s="6">
        <f t="shared" si="8"/>
        <v>52871</v>
      </c>
      <c r="N54" s="40" t="s">
        <v>89</v>
      </c>
      <c r="O54" s="38">
        <f t="shared" si="12"/>
        <v>0</v>
      </c>
      <c r="P54" s="38">
        <f t="shared" si="10"/>
        <v>2493.1506849315069</v>
      </c>
      <c r="Q54" s="38">
        <f t="shared" si="13"/>
        <v>2493.1506849315069</v>
      </c>
      <c r="R54" s="38">
        <f t="shared" si="14"/>
        <v>2493.1506849315069</v>
      </c>
      <c r="S54" s="38">
        <f t="shared" si="1"/>
        <v>0</v>
      </c>
      <c r="T54" s="38">
        <f t="shared" si="2"/>
        <v>0</v>
      </c>
    </row>
    <row r="55" spans="1:20" ht="20.25" customHeight="1" x14ac:dyDescent="0.3">
      <c r="A55" s="62"/>
      <c r="B55" s="6">
        <f t="shared" si="3"/>
        <v>53236</v>
      </c>
      <c r="C55" s="117" t="str">
        <f t="shared" si="0"/>
        <v/>
      </c>
      <c r="D55" s="131">
        <f t="shared" si="4"/>
        <v>25400.25</v>
      </c>
      <c r="E55" s="131">
        <f t="shared" si="9"/>
        <v>25400.25</v>
      </c>
      <c r="F55" s="138">
        <f t="shared" si="11"/>
        <v>22893.400684931508</v>
      </c>
      <c r="G55" s="132">
        <f t="shared" si="5"/>
        <v>0</v>
      </c>
      <c r="H55" s="132">
        <f t="shared" si="6"/>
        <v>320.50760958904107</v>
      </c>
      <c r="I55" s="9">
        <f t="shared" si="7"/>
        <v>22572.893075342468</v>
      </c>
      <c r="J55" s="66"/>
      <c r="K55" s="11"/>
      <c r="L55" s="11"/>
      <c r="M55" s="6">
        <f t="shared" si="8"/>
        <v>53053</v>
      </c>
      <c r="N55" s="40" t="s">
        <v>90</v>
      </c>
      <c r="O55" s="38">
        <f t="shared" si="12"/>
        <v>0</v>
      </c>
      <c r="P55" s="38">
        <f t="shared" si="10"/>
        <v>2506.8493150684931</v>
      </c>
      <c r="Q55" s="38">
        <f t="shared" si="13"/>
        <v>2506.8493150684931</v>
      </c>
      <c r="R55" s="38">
        <f t="shared" si="14"/>
        <v>2506.8493150684931</v>
      </c>
      <c r="S55" s="38">
        <f t="shared" si="1"/>
        <v>0</v>
      </c>
      <c r="T55" s="38">
        <f t="shared" si="2"/>
        <v>0</v>
      </c>
    </row>
    <row r="56" spans="1:20" ht="20.25" customHeight="1" x14ac:dyDescent="0.3">
      <c r="A56" s="62"/>
      <c r="B56" s="6">
        <f t="shared" si="3"/>
        <v>53418</v>
      </c>
      <c r="C56" s="117" t="str">
        <f t="shared" si="0"/>
        <v/>
      </c>
      <c r="D56" s="131">
        <f t="shared" si="4"/>
        <v>25400.25</v>
      </c>
      <c r="E56" s="131">
        <f t="shared" si="9"/>
        <v>25400.25</v>
      </c>
      <c r="F56" s="138">
        <f t="shared" si="11"/>
        <v>22907.099315068492</v>
      </c>
      <c r="G56" s="132">
        <f t="shared" si="5"/>
        <v>0</v>
      </c>
      <c r="H56" s="132">
        <f t="shared" si="6"/>
        <v>320.69939041095887</v>
      </c>
      <c r="I56" s="9">
        <f t="shared" si="7"/>
        <v>22586.399924657533</v>
      </c>
      <c r="J56" s="66"/>
      <c r="K56" s="11"/>
      <c r="L56" s="11"/>
      <c r="M56" s="6">
        <f t="shared" si="8"/>
        <v>53236</v>
      </c>
      <c r="N56" s="40" t="s">
        <v>91</v>
      </c>
      <c r="O56" s="38">
        <f t="shared" si="12"/>
        <v>0</v>
      </c>
      <c r="P56" s="38">
        <f t="shared" si="10"/>
        <v>2493.1506849315069</v>
      </c>
      <c r="Q56" s="38">
        <f t="shared" si="13"/>
        <v>2493.1506849315069</v>
      </c>
      <c r="R56" s="38">
        <f t="shared" si="14"/>
        <v>2493.1506849315069</v>
      </c>
      <c r="S56" s="38">
        <f t="shared" si="1"/>
        <v>0</v>
      </c>
      <c r="T56" s="38">
        <f t="shared" si="2"/>
        <v>0</v>
      </c>
    </row>
    <row r="57" spans="1:20" ht="20.25" customHeight="1" x14ac:dyDescent="0.3">
      <c r="A57" s="62"/>
      <c r="B57" s="6">
        <f t="shared" si="3"/>
        <v>53601</v>
      </c>
      <c r="C57" s="117" t="str">
        <f t="shared" si="0"/>
        <v/>
      </c>
      <c r="D57" s="131">
        <f t="shared" si="4"/>
        <v>25400.25</v>
      </c>
      <c r="E57" s="131">
        <f t="shared" si="9"/>
        <v>25400.25</v>
      </c>
      <c r="F57" s="138">
        <f t="shared" si="11"/>
        <v>22893.400684931508</v>
      </c>
      <c r="G57" s="132">
        <f t="shared" si="5"/>
        <v>0</v>
      </c>
      <c r="H57" s="132">
        <f t="shared" si="6"/>
        <v>320.50760958904107</v>
      </c>
      <c r="I57" s="9">
        <f t="shared" si="7"/>
        <v>22572.893075342468</v>
      </c>
      <c r="J57" s="66"/>
      <c r="K57" s="11"/>
      <c r="L57" s="11"/>
      <c r="M57" s="6">
        <f t="shared" si="8"/>
        <v>53418</v>
      </c>
      <c r="N57" s="40" t="s">
        <v>92</v>
      </c>
      <c r="O57" s="38">
        <f t="shared" si="12"/>
        <v>0</v>
      </c>
      <c r="P57" s="38">
        <f t="shared" si="10"/>
        <v>2506.8493150684931</v>
      </c>
      <c r="Q57" s="38">
        <f t="shared" si="13"/>
        <v>2506.8493150684931</v>
      </c>
      <c r="R57" s="38">
        <f t="shared" si="14"/>
        <v>2506.8493150684931</v>
      </c>
      <c r="S57" s="38">
        <f t="shared" si="1"/>
        <v>0</v>
      </c>
      <c r="T57" s="38">
        <f t="shared" si="2"/>
        <v>0</v>
      </c>
    </row>
    <row r="58" spans="1:20" ht="20.25" customHeight="1" x14ac:dyDescent="0.3">
      <c r="A58" s="62"/>
      <c r="B58" s="6">
        <f t="shared" si="3"/>
        <v>53783</v>
      </c>
      <c r="C58" s="117" t="str">
        <f t="shared" si="0"/>
        <v/>
      </c>
      <c r="D58" s="131">
        <f t="shared" si="4"/>
        <v>25400.25</v>
      </c>
      <c r="E58" s="131">
        <f t="shared" si="9"/>
        <v>25400.25</v>
      </c>
      <c r="F58" s="138">
        <f t="shared" si="11"/>
        <v>22907.099315068492</v>
      </c>
      <c r="G58" s="132">
        <f t="shared" si="5"/>
        <v>0</v>
      </c>
      <c r="H58" s="132">
        <f t="shared" si="6"/>
        <v>320.69939041095887</v>
      </c>
      <c r="I58" s="9">
        <f t="shared" si="7"/>
        <v>22586.399924657533</v>
      </c>
      <c r="J58" s="66"/>
      <c r="K58" s="11"/>
      <c r="L58" s="11"/>
      <c r="M58" s="6">
        <f t="shared" si="8"/>
        <v>53601</v>
      </c>
      <c r="N58" s="40" t="s">
        <v>93</v>
      </c>
      <c r="O58" s="38">
        <f t="shared" si="12"/>
        <v>0</v>
      </c>
      <c r="P58" s="38">
        <f t="shared" si="10"/>
        <v>2493.1506849315069</v>
      </c>
      <c r="Q58" s="38">
        <f t="shared" si="13"/>
        <v>2493.1506849315069</v>
      </c>
      <c r="R58" s="38">
        <f t="shared" si="14"/>
        <v>2493.1506849315069</v>
      </c>
      <c r="S58" s="38">
        <f t="shared" si="1"/>
        <v>0</v>
      </c>
      <c r="T58" s="38">
        <f t="shared" si="2"/>
        <v>0</v>
      </c>
    </row>
    <row r="59" spans="1:20" ht="20.25" customHeight="1" x14ac:dyDescent="0.3">
      <c r="A59" s="62"/>
      <c r="B59" s="6">
        <f t="shared" ref="B59:B122" si="15">IF(B58&lt;$C$8,COUPNCD(B58,$C$8,IF($C$10=O$9,1,IF($C$10=O$8,2,4))),"")</f>
        <v>53966</v>
      </c>
      <c r="C59" s="117" t="str">
        <f t="shared" ref="C59:C122" si="16">IF(B59=$C$8,$E$9,"")</f>
        <v/>
      </c>
      <c r="D59" s="131">
        <f t="shared" ref="D59:D122" si="17">IF(B59="","",IF($C$13="krw",(TRUNC(($C$9*$E$9)/(IF($C$10=$O$9,1,IF($C$10=$O$8,2,4))),2)*$C$14),(TRUNC(($C$9*$E$9)/(IF($C$10=$O$9,1,IF($C$10=$O$8,2,4))),2))))</f>
        <v>25400.25</v>
      </c>
      <c r="E59" s="131">
        <f t="shared" si="9"/>
        <v>25400.25</v>
      </c>
      <c r="F59" s="138">
        <f t="shared" ref="F59:F122" si="18">IF(B59="","",IF(E59&gt;R59,E59-R59,0))</f>
        <v>22893.400684931508</v>
      </c>
      <c r="G59" s="132">
        <f t="shared" si="5"/>
        <v>0</v>
      </c>
      <c r="H59" s="132">
        <f t="shared" si="6"/>
        <v>320.50760958904107</v>
      </c>
      <c r="I59" s="9">
        <f t="shared" ref="I59:I122" si="19">IF(B59="","",D59-P59-G59-H59)</f>
        <v>22572.893075342468</v>
      </c>
      <c r="J59" s="66"/>
      <c r="K59" s="11"/>
      <c r="L59" s="11"/>
      <c r="M59" s="6">
        <f t="shared" ref="M59:M122" si="20">IF(B58&lt;$C$8,COUPNCD(M58,$C$8,IF($C$10=$O$9,1,IF($C$10=$O$8,2,4))),"")</f>
        <v>53783</v>
      </c>
      <c r="N59" s="40" t="s">
        <v>136</v>
      </c>
      <c r="O59" s="38">
        <f t="shared" ref="O59:O122" si="21">S58</f>
        <v>0</v>
      </c>
      <c r="P59" s="38">
        <f t="shared" si="10"/>
        <v>2506.8493150684931</v>
      </c>
      <c r="Q59" s="38">
        <f t="shared" ref="Q59:Q122" si="22">+T58+P59</f>
        <v>2506.8493150684931</v>
      </c>
      <c r="R59" s="38">
        <f t="shared" ref="R59:R122" si="23">+O59+Q59</f>
        <v>2506.8493150684931</v>
      </c>
      <c r="S59" s="38">
        <f t="shared" ref="S59:S122" si="24">IF(E59&lt;O59,O59-E59,0)</f>
        <v>0</v>
      </c>
      <c r="T59" s="38">
        <f t="shared" ref="T59:T122" si="25">IF(S59&gt;0,Q59,IF(E59&gt;R59,0,Q59-(E59-O59)))</f>
        <v>0</v>
      </c>
    </row>
    <row r="60" spans="1:20" ht="20.25" customHeight="1" x14ac:dyDescent="0.3">
      <c r="A60" s="62"/>
      <c r="B60" s="6">
        <f t="shared" si="15"/>
        <v>54149</v>
      </c>
      <c r="C60" s="117" t="str">
        <f t="shared" si="16"/>
        <v/>
      </c>
      <c r="D60" s="131">
        <f t="shared" si="17"/>
        <v>25400.25</v>
      </c>
      <c r="E60" s="131">
        <f t="shared" si="9"/>
        <v>25400.25</v>
      </c>
      <c r="F60" s="138">
        <f t="shared" si="18"/>
        <v>22893.400684931508</v>
      </c>
      <c r="G60" s="132">
        <f t="shared" si="5"/>
        <v>0</v>
      </c>
      <c r="H60" s="132">
        <f t="shared" si="6"/>
        <v>320.50760958904107</v>
      </c>
      <c r="I60" s="9">
        <f t="shared" si="19"/>
        <v>22572.893075342468</v>
      </c>
      <c r="J60" s="66"/>
      <c r="K60" s="11"/>
      <c r="L60" s="11"/>
      <c r="M60" s="6">
        <f t="shared" si="20"/>
        <v>53966</v>
      </c>
      <c r="N60" s="40" t="s">
        <v>137</v>
      </c>
      <c r="O60" s="38">
        <f t="shared" si="21"/>
        <v>0</v>
      </c>
      <c r="P60" s="38">
        <f t="shared" si="10"/>
        <v>2506.8493150684931</v>
      </c>
      <c r="Q60" s="38">
        <f t="shared" si="22"/>
        <v>2506.8493150684931</v>
      </c>
      <c r="R60" s="38">
        <f t="shared" si="23"/>
        <v>2506.8493150684931</v>
      </c>
      <c r="S60" s="38">
        <f t="shared" si="24"/>
        <v>0</v>
      </c>
      <c r="T60" s="38">
        <f t="shared" si="25"/>
        <v>0</v>
      </c>
    </row>
    <row r="61" spans="1:20" ht="20.25" customHeight="1" x14ac:dyDescent="0.3">
      <c r="A61" s="62"/>
      <c r="B61" s="6">
        <f t="shared" si="15"/>
        <v>54332</v>
      </c>
      <c r="C61" s="117" t="str">
        <f t="shared" si="16"/>
        <v/>
      </c>
      <c r="D61" s="131">
        <f t="shared" si="17"/>
        <v>25400.25</v>
      </c>
      <c r="E61" s="131">
        <f t="shared" si="9"/>
        <v>25400.25</v>
      </c>
      <c r="F61" s="138">
        <f t="shared" si="18"/>
        <v>22893.400684931508</v>
      </c>
      <c r="G61" s="132">
        <f t="shared" si="5"/>
        <v>0</v>
      </c>
      <c r="H61" s="132">
        <f t="shared" si="6"/>
        <v>320.50760958904107</v>
      </c>
      <c r="I61" s="9">
        <f t="shared" si="19"/>
        <v>22572.893075342468</v>
      </c>
      <c r="J61" s="66"/>
      <c r="K61" s="11"/>
      <c r="L61" s="11"/>
      <c r="M61" s="6">
        <f t="shared" si="20"/>
        <v>54149</v>
      </c>
      <c r="N61" s="40" t="s">
        <v>138</v>
      </c>
      <c r="O61" s="38">
        <f t="shared" si="21"/>
        <v>0</v>
      </c>
      <c r="P61" s="38">
        <f t="shared" si="10"/>
        <v>2506.8493150684931</v>
      </c>
      <c r="Q61" s="38">
        <f t="shared" si="22"/>
        <v>2506.8493150684931</v>
      </c>
      <c r="R61" s="38">
        <f t="shared" si="23"/>
        <v>2506.8493150684931</v>
      </c>
      <c r="S61" s="38">
        <f t="shared" si="24"/>
        <v>0</v>
      </c>
      <c r="T61" s="38">
        <f t="shared" si="25"/>
        <v>0</v>
      </c>
    </row>
    <row r="62" spans="1:20" ht="20.25" customHeight="1" x14ac:dyDescent="0.3">
      <c r="A62" s="62"/>
      <c r="B62" s="6">
        <f t="shared" si="15"/>
        <v>54514</v>
      </c>
      <c r="C62" s="117" t="str">
        <f t="shared" si="16"/>
        <v/>
      </c>
      <c r="D62" s="131">
        <f t="shared" si="17"/>
        <v>25400.25</v>
      </c>
      <c r="E62" s="131">
        <f t="shared" si="9"/>
        <v>25400.25</v>
      </c>
      <c r="F62" s="138">
        <f t="shared" si="18"/>
        <v>22907.099315068492</v>
      </c>
      <c r="G62" s="132">
        <f t="shared" si="5"/>
        <v>0</v>
      </c>
      <c r="H62" s="132">
        <f t="shared" si="6"/>
        <v>320.69939041095887</v>
      </c>
      <c r="I62" s="9">
        <f t="shared" si="19"/>
        <v>22586.399924657533</v>
      </c>
      <c r="J62" s="66"/>
      <c r="K62" s="11"/>
      <c r="L62" s="11"/>
      <c r="M62" s="6">
        <f t="shared" si="20"/>
        <v>54332</v>
      </c>
      <c r="N62" s="40" t="s">
        <v>139</v>
      </c>
      <c r="O62" s="38">
        <f t="shared" si="21"/>
        <v>0</v>
      </c>
      <c r="P62" s="38">
        <f t="shared" si="10"/>
        <v>2493.1506849315069</v>
      </c>
      <c r="Q62" s="38">
        <f t="shared" si="22"/>
        <v>2493.1506849315069</v>
      </c>
      <c r="R62" s="38">
        <f t="shared" si="23"/>
        <v>2493.1506849315069</v>
      </c>
      <c r="S62" s="38">
        <f t="shared" si="24"/>
        <v>0</v>
      </c>
      <c r="T62" s="38">
        <f t="shared" si="25"/>
        <v>0</v>
      </c>
    </row>
    <row r="63" spans="1:20" ht="20.25" customHeight="1" x14ac:dyDescent="0.3">
      <c r="A63" s="62"/>
      <c r="B63" s="6">
        <f t="shared" si="15"/>
        <v>54697</v>
      </c>
      <c r="C63" s="117" t="str">
        <f t="shared" si="16"/>
        <v/>
      </c>
      <c r="D63" s="131">
        <f t="shared" si="17"/>
        <v>25400.25</v>
      </c>
      <c r="E63" s="131">
        <f t="shared" si="9"/>
        <v>25400.25</v>
      </c>
      <c r="F63" s="138">
        <f t="shared" si="18"/>
        <v>22893.400684931508</v>
      </c>
      <c r="G63" s="132">
        <f t="shared" si="5"/>
        <v>0</v>
      </c>
      <c r="H63" s="132">
        <f t="shared" si="6"/>
        <v>320.50760958904107</v>
      </c>
      <c r="I63" s="9">
        <f t="shared" si="19"/>
        <v>22572.893075342468</v>
      </c>
      <c r="J63" s="66"/>
      <c r="K63" s="11"/>
      <c r="L63" s="11"/>
      <c r="M63" s="6">
        <f t="shared" si="20"/>
        <v>54514</v>
      </c>
      <c r="N63" s="40" t="s">
        <v>140</v>
      </c>
      <c r="O63" s="38">
        <f t="shared" si="21"/>
        <v>0</v>
      </c>
      <c r="P63" s="38">
        <f t="shared" si="10"/>
        <v>2506.8493150684931</v>
      </c>
      <c r="Q63" s="38">
        <f t="shared" si="22"/>
        <v>2506.8493150684931</v>
      </c>
      <c r="R63" s="38">
        <f t="shared" si="23"/>
        <v>2506.8493150684931</v>
      </c>
      <c r="S63" s="38">
        <f t="shared" si="24"/>
        <v>0</v>
      </c>
      <c r="T63" s="38">
        <f t="shared" si="25"/>
        <v>0</v>
      </c>
    </row>
    <row r="64" spans="1:20" ht="20.25" customHeight="1" x14ac:dyDescent="0.3">
      <c r="A64" s="62"/>
      <c r="B64" s="6">
        <f t="shared" si="15"/>
        <v>54879</v>
      </c>
      <c r="C64" s="117" t="str">
        <f t="shared" si="16"/>
        <v/>
      </c>
      <c r="D64" s="131">
        <f t="shared" si="17"/>
        <v>25400.25</v>
      </c>
      <c r="E64" s="131">
        <f t="shared" si="9"/>
        <v>25400.25</v>
      </c>
      <c r="F64" s="138">
        <f t="shared" si="18"/>
        <v>22907.099315068492</v>
      </c>
      <c r="G64" s="132">
        <f t="shared" si="5"/>
        <v>0</v>
      </c>
      <c r="H64" s="132">
        <f t="shared" si="6"/>
        <v>320.69939041095887</v>
      </c>
      <c r="I64" s="9">
        <f t="shared" si="19"/>
        <v>22586.399924657533</v>
      </c>
      <c r="J64" s="66"/>
      <c r="K64" s="11"/>
      <c r="L64" s="11"/>
      <c r="M64" s="6">
        <f t="shared" si="20"/>
        <v>54697</v>
      </c>
      <c r="N64" s="40" t="s">
        <v>141</v>
      </c>
      <c r="O64" s="38">
        <f t="shared" si="21"/>
        <v>0</v>
      </c>
      <c r="P64" s="38">
        <f t="shared" si="10"/>
        <v>2493.1506849315069</v>
      </c>
      <c r="Q64" s="38">
        <f t="shared" si="22"/>
        <v>2493.1506849315069</v>
      </c>
      <c r="R64" s="38">
        <f t="shared" si="23"/>
        <v>2493.1506849315069</v>
      </c>
      <c r="S64" s="38">
        <f t="shared" si="24"/>
        <v>0</v>
      </c>
      <c r="T64" s="38">
        <f t="shared" si="25"/>
        <v>0</v>
      </c>
    </row>
    <row r="65" spans="1:20" ht="20.25" customHeight="1" x14ac:dyDescent="0.3">
      <c r="A65" s="62"/>
      <c r="B65" s="6">
        <f t="shared" si="15"/>
        <v>55062</v>
      </c>
      <c r="C65" s="117" t="str">
        <f t="shared" si="16"/>
        <v/>
      </c>
      <c r="D65" s="131">
        <f t="shared" si="17"/>
        <v>25400.25</v>
      </c>
      <c r="E65" s="131">
        <f t="shared" si="9"/>
        <v>25400.25</v>
      </c>
      <c r="F65" s="138">
        <f t="shared" si="18"/>
        <v>22893.400684931508</v>
      </c>
      <c r="G65" s="132">
        <f t="shared" si="5"/>
        <v>0</v>
      </c>
      <c r="H65" s="132">
        <f t="shared" si="6"/>
        <v>320.50760958904107</v>
      </c>
      <c r="I65" s="9">
        <f t="shared" si="19"/>
        <v>22572.893075342468</v>
      </c>
      <c r="J65" s="66"/>
      <c r="K65" s="11"/>
      <c r="L65" s="11"/>
      <c r="M65" s="6">
        <f t="shared" si="20"/>
        <v>54879</v>
      </c>
      <c r="N65" s="40" t="s">
        <v>142</v>
      </c>
      <c r="O65" s="38">
        <f t="shared" si="21"/>
        <v>0</v>
      </c>
      <c r="P65" s="38">
        <f t="shared" si="10"/>
        <v>2506.8493150684931</v>
      </c>
      <c r="Q65" s="38">
        <f t="shared" si="22"/>
        <v>2506.8493150684931</v>
      </c>
      <c r="R65" s="38">
        <f t="shared" si="23"/>
        <v>2506.8493150684931</v>
      </c>
      <c r="S65" s="38">
        <f t="shared" si="24"/>
        <v>0</v>
      </c>
      <c r="T65" s="38">
        <f t="shared" si="25"/>
        <v>0</v>
      </c>
    </row>
    <row r="66" spans="1:20" ht="20.25" customHeight="1" x14ac:dyDescent="0.3">
      <c r="A66" s="62"/>
      <c r="B66" s="6">
        <f t="shared" si="15"/>
        <v>55244</v>
      </c>
      <c r="C66" s="117" t="str">
        <f t="shared" si="16"/>
        <v/>
      </c>
      <c r="D66" s="131">
        <f t="shared" si="17"/>
        <v>25400.25</v>
      </c>
      <c r="E66" s="131">
        <f t="shared" si="9"/>
        <v>25400.25</v>
      </c>
      <c r="F66" s="138">
        <f t="shared" si="18"/>
        <v>22907.099315068492</v>
      </c>
      <c r="G66" s="132">
        <f t="shared" si="5"/>
        <v>0</v>
      </c>
      <c r="H66" s="132">
        <f t="shared" si="6"/>
        <v>320.69939041095887</v>
      </c>
      <c r="I66" s="9">
        <f t="shared" si="19"/>
        <v>22586.399924657533</v>
      </c>
      <c r="J66" s="66"/>
      <c r="K66" s="11"/>
      <c r="L66" s="11"/>
      <c r="M66" s="6">
        <f t="shared" si="20"/>
        <v>55062</v>
      </c>
      <c r="N66" s="40" t="s">
        <v>143</v>
      </c>
      <c r="O66" s="38">
        <f t="shared" si="21"/>
        <v>0</v>
      </c>
      <c r="P66" s="38">
        <f t="shared" si="10"/>
        <v>2493.1506849315069</v>
      </c>
      <c r="Q66" s="38">
        <f t="shared" si="22"/>
        <v>2493.1506849315069</v>
      </c>
      <c r="R66" s="38">
        <f t="shared" si="23"/>
        <v>2493.1506849315069</v>
      </c>
      <c r="S66" s="38">
        <f t="shared" si="24"/>
        <v>0</v>
      </c>
      <c r="T66" s="38">
        <f t="shared" si="25"/>
        <v>0</v>
      </c>
    </row>
    <row r="67" spans="1:20" ht="20.25" customHeight="1" x14ac:dyDescent="0.3">
      <c r="A67" s="62"/>
      <c r="B67" s="6">
        <f t="shared" si="15"/>
        <v>55427</v>
      </c>
      <c r="C67" s="117" t="str">
        <f t="shared" si="16"/>
        <v/>
      </c>
      <c r="D67" s="131">
        <f t="shared" si="17"/>
        <v>25400.25</v>
      </c>
      <c r="E67" s="131">
        <f t="shared" si="9"/>
        <v>25400.25</v>
      </c>
      <c r="F67" s="138">
        <f t="shared" si="18"/>
        <v>22893.400684931508</v>
      </c>
      <c r="G67" s="132">
        <f t="shared" si="5"/>
        <v>0</v>
      </c>
      <c r="H67" s="132">
        <f t="shared" si="6"/>
        <v>320.50760958904107</v>
      </c>
      <c r="I67" s="9">
        <f t="shared" si="19"/>
        <v>22572.893075342468</v>
      </c>
      <c r="J67" s="66"/>
      <c r="K67" s="11"/>
      <c r="L67" s="11"/>
      <c r="M67" s="6">
        <f t="shared" si="20"/>
        <v>55244</v>
      </c>
      <c r="N67" s="40" t="s">
        <v>144</v>
      </c>
      <c r="O67" s="38">
        <f t="shared" si="21"/>
        <v>0</v>
      </c>
      <c r="P67" s="38">
        <f t="shared" si="10"/>
        <v>2506.8493150684931</v>
      </c>
      <c r="Q67" s="38">
        <f t="shared" si="22"/>
        <v>2506.8493150684931</v>
      </c>
      <c r="R67" s="38">
        <f t="shared" si="23"/>
        <v>2506.8493150684931</v>
      </c>
      <c r="S67" s="38">
        <f t="shared" si="24"/>
        <v>0</v>
      </c>
      <c r="T67" s="38">
        <f t="shared" si="25"/>
        <v>0</v>
      </c>
    </row>
    <row r="68" spans="1:20" ht="20.25" customHeight="1" x14ac:dyDescent="0.3">
      <c r="A68" s="62"/>
      <c r="B68" s="6">
        <f t="shared" si="15"/>
        <v>55610</v>
      </c>
      <c r="C68" s="117" t="str">
        <f t="shared" si="16"/>
        <v/>
      </c>
      <c r="D68" s="131">
        <f t="shared" si="17"/>
        <v>25400.25</v>
      </c>
      <c r="E68" s="131">
        <f t="shared" si="9"/>
        <v>25400.25</v>
      </c>
      <c r="F68" s="138">
        <f t="shared" si="18"/>
        <v>22893.400684931508</v>
      </c>
      <c r="G68" s="132">
        <f t="shared" si="5"/>
        <v>0</v>
      </c>
      <c r="H68" s="132">
        <f t="shared" si="6"/>
        <v>320.50760958904107</v>
      </c>
      <c r="I68" s="9">
        <f t="shared" si="19"/>
        <v>22572.893075342468</v>
      </c>
      <c r="J68" s="66"/>
      <c r="K68" s="11"/>
      <c r="L68" s="11"/>
      <c r="M68" s="6">
        <f t="shared" si="20"/>
        <v>55427</v>
      </c>
      <c r="N68" s="40" t="s">
        <v>145</v>
      </c>
      <c r="O68" s="38">
        <f t="shared" si="21"/>
        <v>0</v>
      </c>
      <c r="P68" s="38">
        <f t="shared" si="10"/>
        <v>2506.8493150684931</v>
      </c>
      <c r="Q68" s="38">
        <f t="shared" si="22"/>
        <v>2506.8493150684931</v>
      </c>
      <c r="R68" s="38">
        <f t="shared" si="23"/>
        <v>2506.8493150684931</v>
      </c>
      <c r="S68" s="38">
        <f t="shared" si="24"/>
        <v>0</v>
      </c>
      <c r="T68" s="38">
        <f t="shared" si="25"/>
        <v>0</v>
      </c>
    </row>
    <row r="69" spans="1:20" ht="20.25" customHeight="1" x14ac:dyDescent="0.3">
      <c r="A69" s="62"/>
      <c r="B69" s="6">
        <f t="shared" si="15"/>
        <v>55793</v>
      </c>
      <c r="C69" s="117" t="str">
        <f t="shared" si="16"/>
        <v/>
      </c>
      <c r="D69" s="131">
        <f t="shared" si="17"/>
        <v>25400.25</v>
      </c>
      <c r="E69" s="131">
        <f t="shared" si="9"/>
        <v>25400.25</v>
      </c>
      <c r="F69" s="138">
        <f t="shared" si="18"/>
        <v>22893.400684931508</v>
      </c>
      <c r="G69" s="132">
        <f t="shared" si="5"/>
        <v>0</v>
      </c>
      <c r="H69" s="132">
        <f t="shared" si="6"/>
        <v>320.50760958904107</v>
      </c>
      <c r="I69" s="9">
        <f t="shared" si="19"/>
        <v>22572.893075342468</v>
      </c>
      <c r="J69" s="66"/>
      <c r="K69" s="11"/>
      <c r="L69" s="11"/>
      <c r="M69" s="6">
        <f t="shared" si="20"/>
        <v>55610</v>
      </c>
      <c r="N69" s="40" t="s">
        <v>146</v>
      </c>
      <c r="O69" s="38">
        <f t="shared" si="21"/>
        <v>0</v>
      </c>
      <c r="P69" s="38">
        <f t="shared" si="10"/>
        <v>2506.8493150684931</v>
      </c>
      <c r="Q69" s="38">
        <f t="shared" si="22"/>
        <v>2506.8493150684931</v>
      </c>
      <c r="R69" s="38">
        <f t="shared" si="23"/>
        <v>2506.8493150684931</v>
      </c>
      <c r="S69" s="38">
        <f t="shared" si="24"/>
        <v>0</v>
      </c>
      <c r="T69" s="38">
        <f t="shared" si="25"/>
        <v>0</v>
      </c>
    </row>
    <row r="70" spans="1:20" ht="20.25" customHeight="1" x14ac:dyDescent="0.3">
      <c r="A70" s="62"/>
      <c r="B70" s="6">
        <f t="shared" si="15"/>
        <v>55975</v>
      </c>
      <c r="C70" s="117" t="str">
        <f t="shared" si="16"/>
        <v/>
      </c>
      <c r="D70" s="131">
        <f t="shared" si="17"/>
        <v>25400.25</v>
      </c>
      <c r="E70" s="131">
        <f t="shared" si="9"/>
        <v>25400.25</v>
      </c>
      <c r="F70" s="138">
        <f t="shared" si="18"/>
        <v>22907.099315068492</v>
      </c>
      <c r="G70" s="132">
        <f t="shared" si="5"/>
        <v>0</v>
      </c>
      <c r="H70" s="132">
        <f t="shared" si="6"/>
        <v>320.69939041095887</v>
      </c>
      <c r="I70" s="9">
        <f t="shared" si="19"/>
        <v>22586.399924657533</v>
      </c>
      <c r="J70" s="66"/>
      <c r="K70" s="11"/>
      <c r="L70" s="11"/>
      <c r="M70" s="6">
        <f t="shared" si="20"/>
        <v>55793</v>
      </c>
      <c r="N70" s="40" t="s">
        <v>147</v>
      </c>
      <c r="O70" s="38">
        <f t="shared" si="21"/>
        <v>0</v>
      </c>
      <c r="P70" s="38">
        <f t="shared" si="10"/>
        <v>2493.1506849315069</v>
      </c>
      <c r="Q70" s="38">
        <f t="shared" si="22"/>
        <v>2493.1506849315069</v>
      </c>
      <c r="R70" s="38">
        <f t="shared" si="23"/>
        <v>2493.1506849315069</v>
      </c>
      <c r="S70" s="38">
        <f t="shared" si="24"/>
        <v>0</v>
      </c>
      <c r="T70" s="38">
        <f t="shared" si="25"/>
        <v>0</v>
      </c>
    </row>
    <row r="71" spans="1:20" ht="20.25" customHeight="1" x14ac:dyDescent="0.3">
      <c r="A71" s="62"/>
      <c r="B71" s="6">
        <f t="shared" si="15"/>
        <v>56158</v>
      </c>
      <c r="C71" s="117" t="str">
        <f t="shared" si="16"/>
        <v/>
      </c>
      <c r="D71" s="131">
        <f t="shared" si="17"/>
        <v>25400.25</v>
      </c>
      <c r="E71" s="131">
        <f t="shared" si="9"/>
        <v>25400.25</v>
      </c>
      <c r="F71" s="138">
        <f t="shared" si="18"/>
        <v>22893.400684931508</v>
      </c>
      <c r="G71" s="132">
        <f t="shared" si="5"/>
        <v>0</v>
      </c>
      <c r="H71" s="132">
        <f t="shared" si="6"/>
        <v>320.50760958904107</v>
      </c>
      <c r="I71" s="9">
        <f t="shared" si="19"/>
        <v>22572.893075342468</v>
      </c>
      <c r="J71" s="66"/>
      <c r="K71" s="11"/>
      <c r="L71" s="11"/>
      <c r="M71" s="6">
        <f t="shared" si="20"/>
        <v>55975</v>
      </c>
      <c r="N71" s="40" t="s">
        <v>148</v>
      </c>
      <c r="O71" s="38">
        <f t="shared" si="21"/>
        <v>0</v>
      </c>
      <c r="P71" s="38">
        <f t="shared" si="10"/>
        <v>2506.8493150684931</v>
      </c>
      <c r="Q71" s="38">
        <f t="shared" si="22"/>
        <v>2506.8493150684931</v>
      </c>
      <c r="R71" s="38">
        <f t="shared" si="23"/>
        <v>2506.8493150684931</v>
      </c>
      <c r="S71" s="38">
        <f t="shared" si="24"/>
        <v>0</v>
      </c>
      <c r="T71" s="38">
        <f t="shared" si="25"/>
        <v>0</v>
      </c>
    </row>
    <row r="72" spans="1:20" ht="20.25" customHeight="1" x14ac:dyDescent="0.3">
      <c r="A72" s="62"/>
      <c r="B72" s="6">
        <f t="shared" si="15"/>
        <v>56340</v>
      </c>
      <c r="C72" s="117" t="str">
        <f t="shared" si="16"/>
        <v/>
      </c>
      <c r="D72" s="131">
        <f t="shared" si="17"/>
        <v>25400.25</v>
      </c>
      <c r="E72" s="131">
        <f t="shared" si="9"/>
        <v>25400.25</v>
      </c>
      <c r="F72" s="138">
        <f t="shared" si="18"/>
        <v>22907.099315068492</v>
      </c>
      <c r="G72" s="132">
        <f t="shared" si="5"/>
        <v>0</v>
      </c>
      <c r="H72" s="132">
        <f t="shared" si="6"/>
        <v>320.69939041095887</v>
      </c>
      <c r="I72" s="9">
        <f t="shared" si="19"/>
        <v>22586.399924657533</v>
      </c>
      <c r="J72" s="66"/>
      <c r="K72" s="11"/>
      <c r="L72" s="11"/>
      <c r="M72" s="6">
        <f t="shared" si="20"/>
        <v>56158</v>
      </c>
      <c r="N72" s="40" t="s">
        <v>149</v>
      </c>
      <c r="O72" s="38">
        <f t="shared" si="21"/>
        <v>0</v>
      </c>
      <c r="P72" s="38">
        <f t="shared" si="10"/>
        <v>2493.1506849315069</v>
      </c>
      <c r="Q72" s="38">
        <f t="shared" si="22"/>
        <v>2493.1506849315069</v>
      </c>
      <c r="R72" s="38">
        <f t="shared" si="23"/>
        <v>2493.1506849315069</v>
      </c>
      <c r="S72" s="38">
        <f t="shared" si="24"/>
        <v>0</v>
      </c>
      <c r="T72" s="38">
        <f t="shared" si="25"/>
        <v>0</v>
      </c>
    </row>
    <row r="73" spans="1:20" ht="20.25" customHeight="1" x14ac:dyDescent="0.3">
      <c r="A73" s="62"/>
      <c r="B73" s="6">
        <f t="shared" si="15"/>
        <v>56523</v>
      </c>
      <c r="C73" s="117" t="str">
        <f t="shared" si="16"/>
        <v/>
      </c>
      <c r="D73" s="131">
        <f t="shared" si="17"/>
        <v>25400.25</v>
      </c>
      <c r="E73" s="131">
        <f t="shared" si="9"/>
        <v>25400.25</v>
      </c>
      <c r="F73" s="138">
        <f t="shared" si="18"/>
        <v>22893.400684931508</v>
      </c>
      <c r="G73" s="132">
        <f t="shared" si="5"/>
        <v>0</v>
      </c>
      <c r="H73" s="132">
        <f t="shared" si="6"/>
        <v>320.50760958904107</v>
      </c>
      <c r="I73" s="9">
        <f t="shared" si="19"/>
        <v>22572.893075342468</v>
      </c>
      <c r="J73" s="66"/>
      <c r="K73" s="11"/>
      <c r="L73" s="11"/>
      <c r="M73" s="6">
        <f t="shared" si="20"/>
        <v>56340</v>
      </c>
      <c r="N73" s="40" t="s">
        <v>150</v>
      </c>
      <c r="O73" s="38">
        <f t="shared" si="21"/>
        <v>0</v>
      </c>
      <c r="P73" s="38">
        <f t="shared" si="10"/>
        <v>2506.8493150684931</v>
      </c>
      <c r="Q73" s="38">
        <f t="shared" si="22"/>
        <v>2506.8493150684931</v>
      </c>
      <c r="R73" s="38">
        <f t="shared" si="23"/>
        <v>2506.8493150684931</v>
      </c>
      <c r="S73" s="38">
        <f t="shared" si="24"/>
        <v>0</v>
      </c>
      <c r="T73" s="38">
        <f t="shared" si="25"/>
        <v>0</v>
      </c>
    </row>
    <row r="74" spans="1:20" ht="20.25" customHeight="1" x14ac:dyDescent="0.3">
      <c r="A74" s="62"/>
      <c r="B74" s="6">
        <f t="shared" si="15"/>
        <v>56705</v>
      </c>
      <c r="C74" s="117" t="str">
        <f t="shared" si="16"/>
        <v/>
      </c>
      <c r="D74" s="131">
        <f t="shared" si="17"/>
        <v>25400.25</v>
      </c>
      <c r="E74" s="131">
        <f t="shared" si="9"/>
        <v>25400.25</v>
      </c>
      <c r="F74" s="138">
        <f t="shared" si="18"/>
        <v>22907.099315068492</v>
      </c>
      <c r="G74" s="132">
        <f t="shared" si="5"/>
        <v>0</v>
      </c>
      <c r="H74" s="132">
        <f t="shared" si="6"/>
        <v>320.69939041095887</v>
      </c>
      <c r="I74" s="9">
        <f t="shared" si="19"/>
        <v>22586.399924657533</v>
      </c>
      <c r="J74" s="66"/>
      <c r="K74" s="11"/>
      <c r="L74" s="11"/>
      <c r="M74" s="6">
        <f t="shared" si="20"/>
        <v>56523</v>
      </c>
      <c r="N74" s="40" t="s">
        <v>151</v>
      </c>
      <c r="O74" s="38">
        <f t="shared" si="21"/>
        <v>0</v>
      </c>
      <c r="P74" s="38">
        <f t="shared" si="10"/>
        <v>2493.1506849315069</v>
      </c>
      <c r="Q74" s="38">
        <f t="shared" si="22"/>
        <v>2493.1506849315069</v>
      </c>
      <c r="R74" s="38">
        <f t="shared" si="23"/>
        <v>2493.1506849315069</v>
      </c>
      <c r="S74" s="38">
        <f t="shared" si="24"/>
        <v>0</v>
      </c>
      <c r="T74" s="38">
        <f t="shared" si="25"/>
        <v>0</v>
      </c>
    </row>
    <row r="75" spans="1:20" ht="20.25" customHeight="1" x14ac:dyDescent="0.3">
      <c r="A75" s="62"/>
      <c r="B75" s="6">
        <f t="shared" si="15"/>
        <v>56888</v>
      </c>
      <c r="C75" s="117" t="str">
        <f t="shared" si="16"/>
        <v/>
      </c>
      <c r="D75" s="131">
        <f t="shared" si="17"/>
        <v>25400.25</v>
      </c>
      <c r="E75" s="131">
        <f t="shared" si="9"/>
        <v>25400.25</v>
      </c>
      <c r="F75" s="138">
        <f t="shared" si="18"/>
        <v>22893.400684931508</v>
      </c>
      <c r="G75" s="132">
        <f t="shared" si="5"/>
        <v>0</v>
      </c>
      <c r="H75" s="132">
        <f t="shared" si="6"/>
        <v>320.50760958904107</v>
      </c>
      <c r="I75" s="9">
        <f t="shared" si="19"/>
        <v>22572.893075342468</v>
      </c>
      <c r="J75" s="66"/>
      <c r="K75" s="11"/>
      <c r="L75" s="11"/>
      <c r="M75" s="6">
        <f t="shared" si="20"/>
        <v>56705</v>
      </c>
      <c r="N75" s="40" t="s">
        <v>152</v>
      </c>
      <c r="O75" s="38">
        <f t="shared" si="21"/>
        <v>0</v>
      </c>
      <c r="P75" s="38">
        <f t="shared" si="10"/>
        <v>2506.8493150684931</v>
      </c>
      <c r="Q75" s="38">
        <f t="shared" si="22"/>
        <v>2506.8493150684931</v>
      </c>
      <c r="R75" s="38">
        <f t="shared" si="23"/>
        <v>2506.8493150684931</v>
      </c>
      <c r="S75" s="38">
        <f t="shared" si="24"/>
        <v>0</v>
      </c>
      <c r="T75" s="38">
        <f t="shared" si="25"/>
        <v>0</v>
      </c>
    </row>
    <row r="76" spans="1:20" ht="20.25" customHeight="1" x14ac:dyDescent="0.3">
      <c r="A76" s="62"/>
      <c r="B76" s="6">
        <f t="shared" si="15"/>
        <v>57071</v>
      </c>
      <c r="C76" s="117" t="str">
        <f t="shared" si="16"/>
        <v/>
      </c>
      <c r="D76" s="131">
        <f t="shared" si="17"/>
        <v>25400.25</v>
      </c>
      <c r="E76" s="131">
        <f t="shared" si="9"/>
        <v>25400.25</v>
      </c>
      <c r="F76" s="138">
        <f t="shared" si="18"/>
        <v>22893.400684931508</v>
      </c>
      <c r="G76" s="132">
        <f t="shared" si="5"/>
        <v>0</v>
      </c>
      <c r="H76" s="132">
        <f t="shared" si="6"/>
        <v>320.50760958904107</v>
      </c>
      <c r="I76" s="9">
        <f t="shared" si="19"/>
        <v>22572.893075342468</v>
      </c>
      <c r="J76" s="66"/>
      <c r="K76" s="11"/>
      <c r="L76" s="11"/>
      <c r="M76" s="6">
        <f t="shared" si="20"/>
        <v>56888</v>
      </c>
      <c r="N76" s="40" t="s">
        <v>153</v>
      </c>
      <c r="O76" s="38">
        <f t="shared" si="21"/>
        <v>0</v>
      </c>
      <c r="P76" s="38">
        <f t="shared" si="10"/>
        <v>2506.8493150684931</v>
      </c>
      <c r="Q76" s="38">
        <f t="shared" si="22"/>
        <v>2506.8493150684931</v>
      </c>
      <c r="R76" s="38">
        <f t="shared" si="23"/>
        <v>2506.8493150684931</v>
      </c>
      <c r="S76" s="38">
        <f t="shared" si="24"/>
        <v>0</v>
      </c>
      <c r="T76" s="38">
        <f t="shared" si="25"/>
        <v>0</v>
      </c>
    </row>
    <row r="77" spans="1:20" ht="20.25" customHeight="1" x14ac:dyDescent="0.3">
      <c r="A77" s="62"/>
      <c r="B77" s="6">
        <f t="shared" si="15"/>
        <v>57254</v>
      </c>
      <c r="C77" s="117" t="str">
        <f t="shared" si="16"/>
        <v/>
      </c>
      <c r="D77" s="131">
        <f t="shared" si="17"/>
        <v>25400.25</v>
      </c>
      <c r="E77" s="131">
        <f t="shared" si="9"/>
        <v>25400.25</v>
      </c>
      <c r="F77" s="138">
        <f t="shared" si="18"/>
        <v>22893.400684931508</v>
      </c>
      <c r="G77" s="132">
        <f t="shared" si="5"/>
        <v>0</v>
      </c>
      <c r="H77" s="132">
        <f t="shared" si="6"/>
        <v>320.50760958904107</v>
      </c>
      <c r="I77" s="9">
        <f t="shared" si="19"/>
        <v>22572.893075342468</v>
      </c>
      <c r="J77" s="66"/>
      <c r="K77" s="11"/>
      <c r="L77" s="11"/>
      <c r="M77" s="6">
        <f t="shared" si="20"/>
        <v>57071</v>
      </c>
      <c r="N77" s="40" t="s">
        <v>154</v>
      </c>
      <c r="O77" s="38">
        <f t="shared" si="21"/>
        <v>0</v>
      </c>
      <c r="P77" s="38">
        <f t="shared" si="10"/>
        <v>2506.8493150684931</v>
      </c>
      <c r="Q77" s="38">
        <f t="shared" si="22"/>
        <v>2506.8493150684931</v>
      </c>
      <c r="R77" s="38">
        <f t="shared" si="23"/>
        <v>2506.8493150684931</v>
      </c>
      <c r="S77" s="38">
        <f t="shared" si="24"/>
        <v>0</v>
      </c>
      <c r="T77" s="38">
        <f t="shared" si="25"/>
        <v>0</v>
      </c>
    </row>
    <row r="78" spans="1:20" ht="20.25" customHeight="1" x14ac:dyDescent="0.3">
      <c r="A78" s="62"/>
      <c r="B78" s="6">
        <f t="shared" si="15"/>
        <v>57436</v>
      </c>
      <c r="C78" s="117" t="str">
        <f t="shared" si="16"/>
        <v/>
      </c>
      <c r="D78" s="131">
        <f t="shared" si="17"/>
        <v>25400.25</v>
      </c>
      <c r="E78" s="131">
        <f t="shared" si="9"/>
        <v>25400.25</v>
      </c>
      <c r="F78" s="138">
        <f t="shared" si="18"/>
        <v>22907.099315068492</v>
      </c>
      <c r="G78" s="132">
        <f t="shared" si="5"/>
        <v>0</v>
      </c>
      <c r="H78" s="132">
        <f t="shared" si="6"/>
        <v>320.69939041095887</v>
      </c>
      <c r="I78" s="9">
        <f t="shared" si="19"/>
        <v>22586.399924657533</v>
      </c>
      <c r="J78" s="66"/>
      <c r="K78" s="11"/>
      <c r="L78" s="11"/>
      <c r="M78" s="6">
        <f t="shared" si="20"/>
        <v>57254</v>
      </c>
      <c r="N78" s="40" t="s">
        <v>155</v>
      </c>
      <c r="O78" s="38">
        <f t="shared" si="21"/>
        <v>0</v>
      </c>
      <c r="P78" s="38">
        <f t="shared" si="10"/>
        <v>2493.1506849315069</v>
      </c>
      <c r="Q78" s="38">
        <f t="shared" si="22"/>
        <v>2493.1506849315069</v>
      </c>
      <c r="R78" s="38">
        <f t="shared" si="23"/>
        <v>2493.1506849315069</v>
      </c>
      <c r="S78" s="38">
        <f t="shared" si="24"/>
        <v>0</v>
      </c>
      <c r="T78" s="38">
        <f t="shared" si="25"/>
        <v>0</v>
      </c>
    </row>
    <row r="79" spans="1:20" ht="20.25" customHeight="1" x14ac:dyDescent="0.3">
      <c r="A79" s="62"/>
      <c r="B79" s="6">
        <f t="shared" si="15"/>
        <v>57619</v>
      </c>
      <c r="C79" s="117" t="str">
        <f t="shared" si="16"/>
        <v/>
      </c>
      <c r="D79" s="131">
        <f t="shared" si="17"/>
        <v>25400.25</v>
      </c>
      <c r="E79" s="131">
        <f t="shared" si="9"/>
        <v>25400.25</v>
      </c>
      <c r="F79" s="138">
        <f t="shared" si="18"/>
        <v>22893.400684931508</v>
      </c>
      <c r="G79" s="132">
        <f t="shared" si="5"/>
        <v>0</v>
      </c>
      <c r="H79" s="132">
        <f t="shared" si="6"/>
        <v>320.50760958904107</v>
      </c>
      <c r="I79" s="9">
        <f t="shared" si="19"/>
        <v>22572.893075342468</v>
      </c>
      <c r="J79" s="66"/>
      <c r="K79" s="11"/>
      <c r="L79" s="11"/>
      <c r="M79" s="6">
        <f t="shared" si="20"/>
        <v>57436</v>
      </c>
      <c r="N79" s="40" t="s">
        <v>156</v>
      </c>
      <c r="O79" s="38">
        <f t="shared" si="21"/>
        <v>0</v>
      </c>
      <c r="P79" s="38">
        <f t="shared" si="10"/>
        <v>2506.8493150684931</v>
      </c>
      <c r="Q79" s="38">
        <f t="shared" si="22"/>
        <v>2506.8493150684931</v>
      </c>
      <c r="R79" s="38">
        <f t="shared" si="23"/>
        <v>2506.8493150684931</v>
      </c>
      <c r="S79" s="38">
        <f t="shared" si="24"/>
        <v>0</v>
      </c>
      <c r="T79" s="38">
        <f t="shared" si="25"/>
        <v>0</v>
      </c>
    </row>
    <row r="80" spans="1:20" ht="20.25" customHeight="1" x14ac:dyDescent="0.3">
      <c r="A80" s="62"/>
      <c r="B80" s="6">
        <f t="shared" si="15"/>
        <v>57801</v>
      </c>
      <c r="C80" s="117" t="str">
        <f t="shared" si="16"/>
        <v/>
      </c>
      <c r="D80" s="131">
        <f t="shared" si="17"/>
        <v>25400.25</v>
      </c>
      <c r="E80" s="131">
        <f t="shared" si="9"/>
        <v>25400.25</v>
      </c>
      <c r="F80" s="138">
        <f t="shared" si="18"/>
        <v>22907.099315068492</v>
      </c>
      <c r="G80" s="132">
        <f t="shared" si="5"/>
        <v>0</v>
      </c>
      <c r="H80" s="132">
        <f t="shared" si="6"/>
        <v>320.69939041095887</v>
      </c>
      <c r="I80" s="9">
        <f t="shared" si="19"/>
        <v>22586.399924657533</v>
      </c>
      <c r="J80" s="66"/>
      <c r="K80" s="11"/>
      <c r="L80" s="11"/>
      <c r="M80" s="6">
        <f t="shared" si="20"/>
        <v>57619</v>
      </c>
      <c r="N80" s="40" t="s">
        <v>157</v>
      </c>
      <c r="O80" s="38">
        <f t="shared" si="21"/>
        <v>0</v>
      </c>
      <c r="P80" s="38">
        <f t="shared" si="10"/>
        <v>2493.1506849315069</v>
      </c>
      <c r="Q80" s="38">
        <f t="shared" si="22"/>
        <v>2493.1506849315069</v>
      </c>
      <c r="R80" s="38">
        <f t="shared" si="23"/>
        <v>2493.1506849315069</v>
      </c>
      <c r="S80" s="38">
        <f t="shared" si="24"/>
        <v>0</v>
      </c>
      <c r="T80" s="38">
        <f t="shared" si="25"/>
        <v>0</v>
      </c>
    </row>
    <row r="81" spans="1:20" ht="20.25" customHeight="1" x14ac:dyDescent="0.3">
      <c r="A81" s="62"/>
      <c r="B81" s="6">
        <f t="shared" si="15"/>
        <v>57984</v>
      </c>
      <c r="C81" s="117" t="str">
        <f t="shared" si="16"/>
        <v/>
      </c>
      <c r="D81" s="131">
        <f t="shared" si="17"/>
        <v>25400.25</v>
      </c>
      <c r="E81" s="131">
        <f t="shared" si="9"/>
        <v>25400.25</v>
      </c>
      <c r="F81" s="138">
        <f t="shared" si="18"/>
        <v>22893.400684931508</v>
      </c>
      <c r="G81" s="132">
        <f t="shared" si="5"/>
        <v>0</v>
      </c>
      <c r="H81" s="132">
        <f t="shared" si="6"/>
        <v>320.50760958904107</v>
      </c>
      <c r="I81" s="9">
        <f t="shared" si="19"/>
        <v>22572.893075342468</v>
      </c>
      <c r="J81" s="66"/>
      <c r="K81" s="11"/>
      <c r="L81" s="11"/>
      <c r="M81" s="6">
        <f t="shared" si="20"/>
        <v>57801</v>
      </c>
      <c r="N81" s="40" t="s">
        <v>158</v>
      </c>
      <c r="O81" s="38">
        <f t="shared" si="21"/>
        <v>0</v>
      </c>
      <c r="P81" s="38">
        <f t="shared" si="10"/>
        <v>2506.8493150684931</v>
      </c>
      <c r="Q81" s="38">
        <f t="shared" si="22"/>
        <v>2506.8493150684931</v>
      </c>
      <c r="R81" s="38">
        <f t="shared" si="23"/>
        <v>2506.8493150684931</v>
      </c>
      <c r="S81" s="38">
        <f t="shared" si="24"/>
        <v>0</v>
      </c>
      <c r="T81" s="38">
        <f t="shared" si="25"/>
        <v>0</v>
      </c>
    </row>
    <row r="82" spans="1:20" ht="20.25" customHeight="1" x14ac:dyDescent="0.3">
      <c r="A82" s="62"/>
      <c r="B82" s="6">
        <f t="shared" si="15"/>
        <v>58166</v>
      </c>
      <c r="C82" s="117" t="str">
        <f t="shared" si="16"/>
        <v/>
      </c>
      <c r="D82" s="131">
        <f t="shared" si="17"/>
        <v>25400.25</v>
      </c>
      <c r="E82" s="131">
        <f t="shared" si="9"/>
        <v>25400.25</v>
      </c>
      <c r="F82" s="138">
        <f t="shared" si="18"/>
        <v>22907.099315068492</v>
      </c>
      <c r="G82" s="132">
        <f t="shared" si="5"/>
        <v>0</v>
      </c>
      <c r="H82" s="132">
        <f t="shared" si="6"/>
        <v>320.69939041095887</v>
      </c>
      <c r="I82" s="9">
        <f t="shared" si="19"/>
        <v>22586.399924657533</v>
      </c>
      <c r="J82" s="66"/>
      <c r="K82" s="11"/>
      <c r="L82" s="11"/>
      <c r="M82" s="6">
        <f t="shared" si="20"/>
        <v>57984</v>
      </c>
      <c r="N82" s="40" t="s">
        <v>159</v>
      </c>
      <c r="O82" s="38">
        <f t="shared" si="21"/>
        <v>0</v>
      </c>
      <c r="P82" s="38">
        <f t="shared" si="10"/>
        <v>2493.1506849315069</v>
      </c>
      <c r="Q82" s="38">
        <f t="shared" si="22"/>
        <v>2493.1506849315069</v>
      </c>
      <c r="R82" s="38">
        <f t="shared" si="23"/>
        <v>2493.1506849315069</v>
      </c>
      <c r="S82" s="38">
        <f t="shared" si="24"/>
        <v>0</v>
      </c>
      <c r="T82" s="38">
        <f t="shared" si="25"/>
        <v>0</v>
      </c>
    </row>
    <row r="83" spans="1:20" ht="20.25" customHeight="1" x14ac:dyDescent="0.3">
      <c r="A83" s="62"/>
      <c r="B83" s="6">
        <f t="shared" si="15"/>
        <v>58349</v>
      </c>
      <c r="C83" s="117" t="str">
        <f t="shared" si="16"/>
        <v/>
      </c>
      <c r="D83" s="131">
        <f t="shared" si="17"/>
        <v>25400.25</v>
      </c>
      <c r="E83" s="131">
        <f t="shared" si="9"/>
        <v>25400.25</v>
      </c>
      <c r="F83" s="138">
        <f t="shared" si="18"/>
        <v>22893.400684931508</v>
      </c>
      <c r="G83" s="132">
        <f t="shared" si="5"/>
        <v>0</v>
      </c>
      <c r="H83" s="132">
        <f t="shared" si="6"/>
        <v>320.50760958904107</v>
      </c>
      <c r="I83" s="9">
        <f t="shared" si="19"/>
        <v>22572.893075342468</v>
      </c>
      <c r="J83" s="66"/>
      <c r="K83" s="11"/>
      <c r="L83" s="11"/>
      <c r="M83" s="6">
        <f t="shared" si="20"/>
        <v>58166</v>
      </c>
      <c r="N83" s="40" t="s">
        <v>160</v>
      </c>
      <c r="O83" s="38">
        <f t="shared" si="21"/>
        <v>0</v>
      </c>
      <c r="P83" s="38">
        <f t="shared" si="10"/>
        <v>2506.8493150684931</v>
      </c>
      <c r="Q83" s="38">
        <f t="shared" si="22"/>
        <v>2506.8493150684931</v>
      </c>
      <c r="R83" s="38">
        <f t="shared" si="23"/>
        <v>2506.8493150684931</v>
      </c>
      <c r="S83" s="38">
        <f t="shared" si="24"/>
        <v>0</v>
      </c>
      <c r="T83" s="38">
        <f t="shared" si="25"/>
        <v>0</v>
      </c>
    </row>
    <row r="84" spans="1:20" ht="20.25" customHeight="1" x14ac:dyDescent="0.3">
      <c r="A84" s="62"/>
      <c r="B84" s="6">
        <f t="shared" si="15"/>
        <v>58532</v>
      </c>
      <c r="C84" s="117" t="str">
        <f t="shared" si="16"/>
        <v/>
      </c>
      <c r="D84" s="131">
        <f t="shared" si="17"/>
        <v>25400.25</v>
      </c>
      <c r="E84" s="131">
        <f t="shared" si="9"/>
        <v>25400.25</v>
      </c>
      <c r="F84" s="138">
        <f t="shared" si="18"/>
        <v>22893.400684931508</v>
      </c>
      <c r="G84" s="132">
        <f t="shared" ref="G84:G147" si="26">ROUNDDOWN(F84*0%,-1)</f>
        <v>0</v>
      </c>
      <c r="H84" s="132">
        <f t="shared" ref="H84:H147" si="27">IF($E$4="개인",F84*1.4%,F84*2.8%)</f>
        <v>320.50760958904107</v>
      </c>
      <c r="I84" s="9">
        <f t="shared" si="19"/>
        <v>22572.893075342468</v>
      </c>
      <c r="J84" s="66"/>
      <c r="K84" s="11"/>
      <c r="L84" s="11"/>
      <c r="M84" s="6">
        <f t="shared" si="20"/>
        <v>58349</v>
      </c>
      <c r="N84" s="40" t="s">
        <v>161</v>
      </c>
      <c r="O84" s="38">
        <f t="shared" si="21"/>
        <v>0</v>
      </c>
      <c r="P84" s="38">
        <f t="shared" si="10"/>
        <v>2506.8493150684931</v>
      </c>
      <c r="Q84" s="38">
        <f t="shared" si="22"/>
        <v>2506.8493150684931</v>
      </c>
      <c r="R84" s="38">
        <f t="shared" si="23"/>
        <v>2506.8493150684931</v>
      </c>
      <c r="S84" s="38">
        <f t="shared" si="24"/>
        <v>0</v>
      </c>
      <c r="T84" s="38">
        <f t="shared" si="25"/>
        <v>0</v>
      </c>
    </row>
    <row r="85" spans="1:20" ht="20.25" customHeight="1" x14ac:dyDescent="0.3">
      <c r="A85" s="62"/>
      <c r="B85" s="6">
        <f t="shared" si="15"/>
        <v>58715</v>
      </c>
      <c r="C85" s="117" t="str">
        <f t="shared" si="16"/>
        <v/>
      </c>
      <c r="D85" s="131">
        <f t="shared" si="17"/>
        <v>25400.25</v>
      </c>
      <c r="E85" s="131">
        <f t="shared" ref="E85:E148" si="28">IF(B85="","",D85)</f>
        <v>25400.25</v>
      </c>
      <c r="F85" s="138">
        <f t="shared" si="18"/>
        <v>22893.400684931508</v>
      </c>
      <c r="G85" s="132">
        <f t="shared" si="26"/>
        <v>0</v>
      </c>
      <c r="H85" s="132">
        <f t="shared" si="27"/>
        <v>320.50760958904107</v>
      </c>
      <c r="I85" s="9">
        <f t="shared" si="19"/>
        <v>22572.893075342468</v>
      </c>
      <c r="J85" s="66"/>
      <c r="K85" s="11"/>
      <c r="L85" s="11"/>
      <c r="M85" s="6">
        <f t="shared" si="20"/>
        <v>58532</v>
      </c>
      <c r="N85" s="40" t="s">
        <v>162</v>
      </c>
      <c r="O85" s="38">
        <f t="shared" si="21"/>
        <v>0</v>
      </c>
      <c r="P85" s="38">
        <f t="shared" ref="P85:P148" si="29">$I$7*$G$8/365*(_xlfn.DAYS(B85,M85))</f>
        <v>2506.8493150684931</v>
      </c>
      <c r="Q85" s="38">
        <f t="shared" si="22"/>
        <v>2506.8493150684931</v>
      </c>
      <c r="R85" s="38">
        <f t="shared" si="23"/>
        <v>2506.8493150684931</v>
      </c>
      <c r="S85" s="38">
        <f t="shared" si="24"/>
        <v>0</v>
      </c>
      <c r="T85" s="38">
        <f t="shared" si="25"/>
        <v>0</v>
      </c>
    </row>
    <row r="86" spans="1:20" ht="20.25" customHeight="1" x14ac:dyDescent="0.3">
      <c r="A86" s="62"/>
      <c r="B86" s="6">
        <f t="shared" si="15"/>
        <v>58897</v>
      </c>
      <c r="C86" s="117" t="str">
        <f t="shared" si="16"/>
        <v/>
      </c>
      <c r="D86" s="131">
        <f t="shared" si="17"/>
        <v>25400.25</v>
      </c>
      <c r="E86" s="131">
        <f t="shared" si="28"/>
        <v>25400.25</v>
      </c>
      <c r="F86" s="138">
        <f t="shared" si="18"/>
        <v>22907.099315068492</v>
      </c>
      <c r="G86" s="132">
        <f t="shared" si="26"/>
        <v>0</v>
      </c>
      <c r="H86" s="132">
        <f t="shared" si="27"/>
        <v>320.69939041095887</v>
      </c>
      <c r="I86" s="9">
        <f t="shared" si="19"/>
        <v>22586.399924657533</v>
      </c>
      <c r="J86" s="66"/>
      <c r="K86" s="11"/>
      <c r="L86" s="11"/>
      <c r="M86" s="6">
        <f t="shared" si="20"/>
        <v>58715</v>
      </c>
      <c r="N86" s="40" t="s">
        <v>163</v>
      </c>
      <c r="O86" s="38">
        <f t="shared" si="21"/>
        <v>0</v>
      </c>
      <c r="P86" s="38">
        <f t="shared" si="29"/>
        <v>2493.1506849315069</v>
      </c>
      <c r="Q86" s="38">
        <f t="shared" si="22"/>
        <v>2493.1506849315069</v>
      </c>
      <c r="R86" s="38">
        <f t="shared" si="23"/>
        <v>2493.1506849315069</v>
      </c>
      <c r="S86" s="38">
        <f t="shared" si="24"/>
        <v>0</v>
      </c>
      <c r="T86" s="38">
        <f t="shared" si="25"/>
        <v>0</v>
      </c>
    </row>
    <row r="87" spans="1:20" ht="20.25" customHeight="1" x14ac:dyDescent="0.3">
      <c r="A87" s="62"/>
      <c r="B87" s="6">
        <f t="shared" si="15"/>
        <v>59080</v>
      </c>
      <c r="C87" s="117" t="str">
        <f t="shared" si="16"/>
        <v/>
      </c>
      <c r="D87" s="131">
        <f t="shared" si="17"/>
        <v>25400.25</v>
      </c>
      <c r="E87" s="131">
        <f t="shared" si="28"/>
        <v>25400.25</v>
      </c>
      <c r="F87" s="138">
        <f t="shared" si="18"/>
        <v>22893.400684931508</v>
      </c>
      <c r="G87" s="132">
        <f t="shared" si="26"/>
        <v>0</v>
      </c>
      <c r="H87" s="132">
        <f t="shared" si="27"/>
        <v>320.50760958904107</v>
      </c>
      <c r="I87" s="9">
        <f t="shared" si="19"/>
        <v>22572.893075342468</v>
      </c>
      <c r="J87" s="66"/>
      <c r="K87" s="11"/>
      <c r="L87" s="11"/>
      <c r="M87" s="6">
        <f t="shared" si="20"/>
        <v>58897</v>
      </c>
      <c r="N87" s="40" t="s">
        <v>164</v>
      </c>
      <c r="O87" s="38">
        <f t="shared" si="21"/>
        <v>0</v>
      </c>
      <c r="P87" s="38">
        <f t="shared" si="29"/>
        <v>2506.8493150684931</v>
      </c>
      <c r="Q87" s="38">
        <f t="shared" si="22"/>
        <v>2506.8493150684931</v>
      </c>
      <c r="R87" s="38">
        <f t="shared" si="23"/>
        <v>2506.8493150684931</v>
      </c>
      <c r="S87" s="38">
        <f t="shared" si="24"/>
        <v>0</v>
      </c>
      <c r="T87" s="38">
        <f t="shared" si="25"/>
        <v>0</v>
      </c>
    </row>
    <row r="88" spans="1:20" ht="20.25" customHeight="1" x14ac:dyDescent="0.3">
      <c r="A88" s="62"/>
      <c r="B88" s="6">
        <f t="shared" si="15"/>
        <v>59262</v>
      </c>
      <c r="C88" s="117" t="str">
        <f t="shared" si="16"/>
        <v/>
      </c>
      <c r="D88" s="131">
        <f t="shared" si="17"/>
        <v>25400.25</v>
      </c>
      <c r="E88" s="131">
        <f t="shared" si="28"/>
        <v>25400.25</v>
      </c>
      <c r="F88" s="138">
        <f t="shared" si="18"/>
        <v>22907.099315068492</v>
      </c>
      <c r="G88" s="132">
        <f t="shared" si="26"/>
        <v>0</v>
      </c>
      <c r="H88" s="132">
        <f t="shared" si="27"/>
        <v>320.69939041095887</v>
      </c>
      <c r="I88" s="9">
        <f t="shared" si="19"/>
        <v>22586.399924657533</v>
      </c>
      <c r="J88" s="66"/>
      <c r="K88" s="11"/>
      <c r="L88" s="11"/>
      <c r="M88" s="6">
        <f t="shared" si="20"/>
        <v>59080</v>
      </c>
      <c r="N88" s="40" t="s">
        <v>165</v>
      </c>
      <c r="O88" s="38">
        <f t="shared" si="21"/>
        <v>0</v>
      </c>
      <c r="P88" s="38">
        <f t="shared" si="29"/>
        <v>2493.1506849315069</v>
      </c>
      <c r="Q88" s="38">
        <f t="shared" si="22"/>
        <v>2493.1506849315069</v>
      </c>
      <c r="R88" s="38">
        <f t="shared" si="23"/>
        <v>2493.1506849315069</v>
      </c>
      <c r="S88" s="38">
        <f t="shared" si="24"/>
        <v>0</v>
      </c>
      <c r="T88" s="38">
        <f t="shared" si="25"/>
        <v>0</v>
      </c>
    </row>
    <row r="89" spans="1:20" ht="20.25" customHeight="1" x14ac:dyDescent="0.3">
      <c r="A89" s="62"/>
      <c r="B89" s="6">
        <f t="shared" si="15"/>
        <v>59445</v>
      </c>
      <c r="C89" s="117" t="str">
        <f t="shared" si="16"/>
        <v/>
      </c>
      <c r="D89" s="131">
        <f t="shared" si="17"/>
        <v>25400.25</v>
      </c>
      <c r="E89" s="131">
        <f t="shared" si="28"/>
        <v>25400.25</v>
      </c>
      <c r="F89" s="138">
        <f t="shared" si="18"/>
        <v>22893.400684931508</v>
      </c>
      <c r="G89" s="132">
        <f t="shared" si="26"/>
        <v>0</v>
      </c>
      <c r="H89" s="132">
        <f t="shared" si="27"/>
        <v>320.50760958904107</v>
      </c>
      <c r="I89" s="9">
        <f t="shared" si="19"/>
        <v>22572.893075342468</v>
      </c>
      <c r="J89" s="66"/>
      <c r="K89" s="11"/>
      <c r="L89" s="11"/>
      <c r="M89" s="6">
        <f t="shared" si="20"/>
        <v>59262</v>
      </c>
      <c r="N89" s="40" t="s">
        <v>166</v>
      </c>
      <c r="O89" s="38">
        <f t="shared" si="21"/>
        <v>0</v>
      </c>
      <c r="P89" s="38">
        <f t="shared" si="29"/>
        <v>2506.8493150684931</v>
      </c>
      <c r="Q89" s="38">
        <f t="shared" si="22"/>
        <v>2506.8493150684931</v>
      </c>
      <c r="R89" s="38">
        <f t="shared" si="23"/>
        <v>2506.8493150684931</v>
      </c>
      <c r="S89" s="38">
        <f t="shared" si="24"/>
        <v>0</v>
      </c>
      <c r="T89" s="38">
        <f t="shared" si="25"/>
        <v>0</v>
      </c>
    </row>
    <row r="90" spans="1:20" ht="20.25" customHeight="1" x14ac:dyDescent="0.3">
      <c r="A90" s="62"/>
      <c r="B90" s="6">
        <f t="shared" si="15"/>
        <v>59627</v>
      </c>
      <c r="C90" s="117" t="str">
        <f t="shared" si="16"/>
        <v/>
      </c>
      <c r="D90" s="131">
        <f t="shared" si="17"/>
        <v>25400.25</v>
      </c>
      <c r="E90" s="131">
        <f t="shared" si="28"/>
        <v>25400.25</v>
      </c>
      <c r="F90" s="138">
        <f t="shared" si="18"/>
        <v>22907.099315068492</v>
      </c>
      <c r="G90" s="132">
        <f t="shared" si="26"/>
        <v>0</v>
      </c>
      <c r="H90" s="132">
        <f t="shared" si="27"/>
        <v>320.69939041095887</v>
      </c>
      <c r="I90" s="9">
        <f t="shared" si="19"/>
        <v>22586.399924657533</v>
      </c>
      <c r="J90" s="66"/>
      <c r="K90" s="11"/>
      <c r="L90" s="11"/>
      <c r="M90" s="6">
        <f t="shared" si="20"/>
        <v>59445</v>
      </c>
      <c r="N90" s="40" t="s">
        <v>167</v>
      </c>
      <c r="O90" s="38">
        <f t="shared" si="21"/>
        <v>0</v>
      </c>
      <c r="P90" s="38">
        <f t="shared" si="29"/>
        <v>2493.1506849315069</v>
      </c>
      <c r="Q90" s="38">
        <f t="shared" si="22"/>
        <v>2493.1506849315069</v>
      </c>
      <c r="R90" s="38">
        <f t="shared" si="23"/>
        <v>2493.1506849315069</v>
      </c>
      <c r="S90" s="38">
        <f t="shared" si="24"/>
        <v>0</v>
      </c>
      <c r="T90" s="38">
        <f t="shared" si="25"/>
        <v>0</v>
      </c>
    </row>
    <row r="91" spans="1:20" ht="20.25" customHeight="1" x14ac:dyDescent="0.3">
      <c r="A91" s="62"/>
      <c r="B91" s="6">
        <f t="shared" si="15"/>
        <v>59810</v>
      </c>
      <c r="C91" s="117" t="str">
        <f t="shared" si="16"/>
        <v/>
      </c>
      <c r="D91" s="131">
        <f t="shared" si="17"/>
        <v>25400.25</v>
      </c>
      <c r="E91" s="131">
        <f t="shared" si="28"/>
        <v>25400.25</v>
      </c>
      <c r="F91" s="138">
        <f t="shared" si="18"/>
        <v>22893.400684931508</v>
      </c>
      <c r="G91" s="132">
        <f t="shared" si="26"/>
        <v>0</v>
      </c>
      <c r="H91" s="132">
        <f t="shared" si="27"/>
        <v>320.50760958904107</v>
      </c>
      <c r="I91" s="9">
        <f t="shared" si="19"/>
        <v>22572.893075342468</v>
      </c>
      <c r="J91" s="66"/>
      <c r="K91" s="11"/>
      <c r="L91" s="11"/>
      <c r="M91" s="6">
        <f t="shared" si="20"/>
        <v>59627</v>
      </c>
      <c r="N91" s="40" t="s">
        <v>168</v>
      </c>
      <c r="O91" s="38">
        <f t="shared" si="21"/>
        <v>0</v>
      </c>
      <c r="P91" s="38">
        <f t="shared" si="29"/>
        <v>2506.8493150684931</v>
      </c>
      <c r="Q91" s="38">
        <f t="shared" si="22"/>
        <v>2506.8493150684931</v>
      </c>
      <c r="R91" s="38">
        <f t="shared" si="23"/>
        <v>2506.8493150684931</v>
      </c>
      <c r="S91" s="38">
        <f t="shared" si="24"/>
        <v>0</v>
      </c>
      <c r="T91" s="38">
        <f t="shared" si="25"/>
        <v>0</v>
      </c>
    </row>
    <row r="92" spans="1:20" ht="20.25" customHeight="1" x14ac:dyDescent="0.3">
      <c r="A92" s="62"/>
      <c r="B92" s="6">
        <f t="shared" si="15"/>
        <v>59993</v>
      </c>
      <c r="C92" s="117" t="str">
        <f t="shared" si="16"/>
        <v/>
      </c>
      <c r="D92" s="131">
        <f t="shared" si="17"/>
        <v>25400.25</v>
      </c>
      <c r="E92" s="131">
        <f t="shared" si="28"/>
        <v>25400.25</v>
      </c>
      <c r="F92" s="138">
        <f t="shared" si="18"/>
        <v>22893.400684931508</v>
      </c>
      <c r="G92" s="132">
        <f t="shared" si="26"/>
        <v>0</v>
      </c>
      <c r="H92" s="132">
        <f t="shared" si="27"/>
        <v>320.50760958904107</v>
      </c>
      <c r="I92" s="9">
        <f t="shared" si="19"/>
        <v>22572.893075342468</v>
      </c>
      <c r="J92" s="66"/>
      <c r="K92" s="11"/>
      <c r="L92" s="11"/>
      <c r="M92" s="6">
        <f t="shared" si="20"/>
        <v>59810</v>
      </c>
      <c r="N92" s="40" t="s">
        <v>169</v>
      </c>
      <c r="O92" s="38">
        <f t="shared" si="21"/>
        <v>0</v>
      </c>
      <c r="P92" s="38">
        <f t="shared" si="29"/>
        <v>2506.8493150684931</v>
      </c>
      <c r="Q92" s="38">
        <f t="shared" si="22"/>
        <v>2506.8493150684931</v>
      </c>
      <c r="R92" s="38">
        <f t="shared" si="23"/>
        <v>2506.8493150684931</v>
      </c>
      <c r="S92" s="38">
        <f t="shared" si="24"/>
        <v>0</v>
      </c>
      <c r="T92" s="38">
        <f t="shared" si="25"/>
        <v>0</v>
      </c>
    </row>
    <row r="93" spans="1:20" ht="20.25" customHeight="1" x14ac:dyDescent="0.3">
      <c r="A93" s="62"/>
      <c r="B93" s="6">
        <f t="shared" si="15"/>
        <v>60176</v>
      </c>
      <c r="C93" s="117" t="str">
        <f t="shared" si="16"/>
        <v/>
      </c>
      <c r="D93" s="131">
        <f t="shared" si="17"/>
        <v>25400.25</v>
      </c>
      <c r="E93" s="131">
        <f t="shared" si="28"/>
        <v>25400.25</v>
      </c>
      <c r="F93" s="138">
        <f t="shared" si="18"/>
        <v>22893.400684931508</v>
      </c>
      <c r="G93" s="132">
        <f t="shared" si="26"/>
        <v>0</v>
      </c>
      <c r="H93" s="132">
        <f t="shared" si="27"/>
        <v>320.50760958904107</v>
      </c>
      <c r="I93" s="9">
        <f t="shared" si="19"/>
        <v>22572.893075342468</v>
      </c>
      <c r="J93" s="66"/>
      <c r="K93" s="11"/>
      <c r="L93" s="11"/>
      <c r="M93" s="6">
        <f t="shared" si="20"/>
        <v>59993</v>
      </c>
      <c r="N93" s="40" t="s">
        <v>170</v>
      </c>
      <c r="O93" s="38">
        <f t="shared" si="21"/>
        <v>0</v>
      </c>
      <c r="P93" s="38">
        <f t="shared" si="29"/>
        <v>2506.8493150684931</v>
      </c>
      <c r="Q93" s="38">
        <f t="shared" si="22"/>
        <v>2506.8493150684931</v>
      </c>
      <c r="R93" s="38">
        <f t="shared" si="23"/>
        <v>2506.8493150684931</v>
      </c>
      <c r="S93" s="38">
        <f t="shared" si="24"/>
        <v>0</v>
      </c>
      <c r="T93" s="38">
        <f t="shared" si="25"/>
        <v>0</v>
      </c>
    </row>
    <row r="94" spans="1:20" ht="20.25" customHeight="1" x14ac:dyDescent="0.3">
      <c r="A94" s="62"/>
      <c r="B94" s="6">
        <f t="shared" si="15"/>
        <v>60358</v>
      </c>
      <c r="C94" s="117" t="str">
        <f t="shared" si="16"/>
        <v/>
      </c>
      <c r="D94" s="131">
        <f t="shared" si="17"/>
        <v>25400.25</v>
      </c>
      <c r="E94" s="131">
        <f t="shared" si="28"/>
        <v>25400.25</v>
      </c>
      <c r="F94" s="138">
        <f t="shared" si="18"/>
        <v>22907.099315068492</v>
      </c>
      <c r="G94" s="132">
        <f t="shared" si="26"/>
        <v>0</v>
      </c>
      <c r="H94" s="132">
        <f t="shared" si="27"/>
        <v>320.69939041095887</v>
      </c>
      <c r="I94" s="9">
        <f t="shared" si="19"/>
        <v>22586.399924657533</v>
      </c>
      <c r="J94" s="66"/>
      <c r="K94" s="11"/>
      <c r="L94" s="11"/>
      <c r="M94" s="6">
        <f t="shared" si="20"/>
        <v>60176</v>
      </c>
      <c r="N94" s="40" t="s">
        <v>171</v>
      </c>
      <c r="O94" s="38">
        <f t="shared" si="21"/>
        <v>0</v>
      </c>
      <c r="P94" s="38">
        <f t="shared" si="29"/>
        <v>2493.1506849315069</v>
      </c>
      <c r="Q94" s="38">
        <f t="shared" si="22"/>
        <v>2493.1506849315069</v>
      </c>
      <c r="R94" s="38">
        <f t="shared" si="23"/>
        <v>2493.1506849315069</v>
      </c>
      <c r="S94" s="38">
        <f t="shared" si="24"/>
        <v>0</v>
      </c>
      <c r="T94" s="38">
        <f t="shared" si="25"/>
        <v>0</v>
      </c>
    </row>
    <row r="95" spans="1:20" ht="20.25" customHeight="1" x14ac:dyDescent="0.3">
      <c r="A95" s="62"/>
      <c r="B95" s="6">
        <f t="shared" si="15"/>
        <v>60541</v>
      </c>
      <c r="C95" s="117" t="str">
        <f t="shared" si="16"/>
        <v/>
      </c>
      <c r="D95" s="131">
        <f t="shared" si="17"/>
        <v>25400.25</v>
      </c>
      <c r="E95" s="131">
        <f t="shared" si="28"/>
        <v>25400.25</v>
      </c>
      <c r="F95" s="138">
        <f t="shared" si="18"/>
        <v>22893.400684931508</v>
      </c>
      <c r="G95" s="132">
        <f t="shared" si="26"/>
        <v>0</v>
      </c>
      <c r="H95" s="132">
        <f t="shared" si="27"/>
        <v>320.50760958904107</v>
      </c>
      <c r="I95" s="9">
        <f t="shared" si="19"/>
        <v>22572.893075342468</v>
      </c>
      <c r="J95" s="66"/>
      <c r="K95" s="11"/>
      <c r="L95" s="11"/>
      <c r="M95" s="6">
        <f t="shared" si="20"/>
        <v>60358</v>
      </c>
      <c r="N95" s="40" t="s">
        <v>172</v>
      </c>
      <c r="O95" s="38">
        <f t="shared" si="21"/>
        <v>0</v>
      </c>
      <c r="P95" s="38">
        <f t="shared" si="29"/>
        <v>2506.8493150684931</v>
      </c>
      <c r="Q95" s="38">
        <f t="shared" si="22"/>
        <v>2506.8493150684931</v>
      </c>
      <c r="R95" s="38">
        <f t="shared" si="23"/>
        <v>2506.8493150684931</v>
      </c>
      <c r="S95" s="38">
        <f t="shared" si="24"/>
        <v>0</v>
      </c>
      <c r="T95" s="38">
        <f t="shared" si="25"/>
        <v>0</v>
      </c>
    </row>
    <row r="96" spans="1:20" ht="20.25" customHeight="1" x14ac:dyDescent="0.3">
      <c r="A96" s="62"/>
      <c r="B96" s="6">
        <f t="shared" si="15"/>
        <v>60723</v>
      </c>
      <c r="C96" s="117" t="str">
        <f t="shared" si="16"/>
        <v/>
      </c>
      <c r="D96" s="131">
        <f t="shared" si="17"/>
        <v>25400.25</v>
      </c>
      <c r="E96" s="131">
        <f t="shared" si="28"/>
        <v>25400.25</v>
      </c>
      <c r="F96" s="138">
        <f t="shared" si="18"/>
        <v>22907.099315068492</v>
      </c>
      <c r="G96" s="132">
        <f t="shared" si="26"/>
        <v>0</v>
      </c>
      <c r="H96" s="132">
        <f t="shared" si="27"/>
        <v>320.69939041095887</v>
      </c>
      <c r="I96" s="9">
        <f t="shared" si="19"/>
        <v>22586.399924657533</v>
      </c>
      <c r="J96" s="66"/>
      <c r="K96" s="11"/>
      <c r="L96" s="11"/>
      <c r="M96" s="6">
        <f t="shared" si="20"/>
        <v>60541</v>
      </c>
      <c r="N96" s="40" t="s">
        <v>173</v>
      </c>
      <c r="O96" s="38">
        <f t="shared" si="21"/>
        <v>0</v>
      </c>
      <c r="P96" s="38">
        <f t="shared" si="29"/>
        <v>2493.1506849315069</v>
      </c>
      <c r="Q96" s="38">
        <f t="shared" si="22"/>
        <v>2493.1506849315069</v>
      </c>
      <c r="R96" s="38">
        <f t="shared" si="23"/>
        <v>2493.1506849315069</v>
      </c>
      <c r="S96" s="38">
        <f t="shared" si="24"/>
        <v>0</v>
      </c>
      <c r="T96" s="38">
        <f t="shared" si="25"/>
        <v>0</v>
      </c>
    </row>
    <row r="97" spans="1:20" ht="20.25" customHeight="1" x14ac:dyDescent="0.3">
      <c r="A97" s="62"/>
      <c r="B97" s="6">
        <f t="shared" si="15"/>
        <v>60906</v>
      </c>
      <c r="C97" s="117" t="str">
        <f t="shared" si="16"/>
        <v/>
      </c>
      <c r="D97" s="131">
        <f t="shared" si="17"/>
        <v>25400.25</v>
      </c>
      <c r="E97" s="131">
        <f t="shared" si="28"/>
        <v>25400.25</v>
      </c>
      <c r="F97" s="138">
        <f t="shared" si="18"/>
        <v>22893.400684931508</v>
      </c>
      <c r="G97" s="132">
        <f t="shared" si="26"/>
        <v>0</v>
      </c>
      <c r="H97" s="132">
        <f t="shared" si="27"/>
        <v>320.50760958904107</v>
      </c>
      <c r="I97" s="9">
        <f t="shared" si="19"/>
        <v>22572.893075342468</v>
      </c>
      <c r="J97" s="66"/>
      <c r="K97" s="11"/>
      <c r="L97" s="11"/>
      <c r="M97" s="6">
        <f t="shared" si="20"/>
        <v>60723</v>
      </c>
      <c r="N97" s="40" t="s">
        <v>174</v>
      </c>
      <c r="O97" s="38">
        <f t="shared" si="21"/>
        <v>0</v>
      </c>
      <c r="P97" s="38">
        <f t="shared" si="29"/>
        <v>2506.8493150684931</v>
      </c>
      <c r="Q97" s="38">
        <f t="shared" si="22"/>
        <v>2506.8493150684931</v>
      </c>
      <c r="R97" s="38">
        <f t="shared" si="23"/>
        <v>2506.8493150684931</v>
      </c>
      <c r="S97" s="38">
        <f t="shared" si="24"/>
        <v>0</v>
      </c>
      <c r="T97" s="38">
        <f t="shared" si="25"/>
        <v>0</v>
      </c>
    </row>
    <row r="98" spans="1:20" ht="20.25" customHeight="1" x14ac:dyDescent="0.3">
      <c r="A98" s="62"/>
      <c r="B98" s="6">
        <f t="shared" si="15"/>
        <v>61088</v>
      </c>
      <c r="C98" s="117" t="str">
        <f t="shared" si="16"/>
        <v/>
      </c>
      <c r="D98" s="131">
        <f t="shared" si="17"/>
        <v>25400.25</v>
      </c>
      <c r="E98" s="131">
        <f t="shared" si="28"/>
        <v>25400.25</v>
      </c>
      <c r="F98" s="138">
        <f t="shared" si="18"/>
        <v>22907.099315068492</v>
      </c>
      <c r="G98" s="132">
        <f t="shared" si="26"/>
        <v>0</v>
      </c>
      <c r="H98" s="132">
        <f t="shared" si="27"/>
        <v>320.69939041095887</v>
      </c>
      <c r="I98" s="9">
        <f t="shared" si="19"/>
        <v>22586.399924657533</v>
      </c>
      <c r="J98" s="66"/>
      <c r="K98" s="11"/>
      <c r="L98" s="11"/>
      <c r="M98" s="6">
        <f t="shared" si="20"/>
        <v>60906</v>
      </c>
      <c r="N98" s="40" t="s">
        <v>175</v>
      </c>
      <c r="O98" s="38">
        <f t="shared" si="21"/>
        <v>0</v>
      </c>
      <c r="P98" s="38">
        <f t="shared" si="29"/>
        <v>2493.1506849315069</v>
      </c>
      <c r="Q98" s="38">
        <f t="shared" si="22"/>
        <v>2493.1506849315069</v>
      </c>
      <c r="R98" s="38">
        <f t="shared" si="23"/>
        <v>2493.1506849315069</v>
      </c>
      <c r="S98" s="38">
        <f t="shared" si="24"/>
        <v>0</v>
      </c>
      <c r="T98" s="38">
        <f t="shared" si="25"/>
        <v>0</v>
      </c>
    </row>
    <row r="99" spans="1:20" ht="20.25" customHeight="1" x14ac:dyDescent="0.3">
      <c r="A99" s="62"/>
      <c r="B99" s="6">
        <f t="shared" si="15"/>
        <v>61271</v>
      </c>
      <c r="C99" s="117" t="str">
        <f t="shared" si="16"/>
        <v/>
      </c>
      <c r="D99" s="131">
        <f t="shared" si="17"/>
        <v>25400.25</v>
      </c>
      <c r="E99" s="131">
        <f t="shared" si="28"/>
        <v>25400.25</v>
      </c>
      <c r="F99" s="138">
        <f t="shared" si="18"/>
        <v>22893.400684931508</v>
      </c>
      <c r="G99" s="132">
        <f t="shared" si="26"/>
        <v>0</v>
      </c>
      <c r="H99" s="132">
        <f t="shared" si="27"/>
        <v>320.50760958904107</v>
      </c>
      <c r="I99" s="9">
        <f t="shared" si="19"/>
        <v>22572.893075342468</v>
      </c>
      <c r="J99" s="66"/>
      <c r="K99" s="11"/>
      <c r="L99" s="11"/>
      <c r="M99" s="6">
        <f t="shared" si="20"/>
        <v>61088</v>
      </c>
      <c r="N99" s="40" t="s">
        <v>176</v>
      </c>
      <c r="O99" s="38">
        <f t="shared" si="21"/>
        <v>0</v>
      </c>
      <c r="P99" s="38">
        <f t="shared" si="29"/>
        <v>2506.8493150684931</v>
      </c>
      <c r="Q99" s="38">
        <f t="shared" si="22"/>
        <v>2506.8493150684931</v>
      </c>
      <c r="R99" s="38">
        <f t="shared" si="23"/>
        <v>2506.8493150684931</v>
      </c>
      <c r="S99" s="38">
        <f t="shared" si="24"/>
        <v>0</v>
      </c>
      <c r="T99" s="38">
        <f t="shared" si="25"/>
        <v>0</v>
      </c>
    </row>
    <row r="100" spans="1:20" ht="20.25" customHeight="1" x14ac:dyDescent="0.3">
      <c r="A100" s="62"/>
      <c r="B100" s="6">
        <f t="shared" si="15"/>
        <v>61454</v>
      </c>
      <c r="C100" s="117" t="str">
        <f t="shared" si="16"/>
        <v/>
      </c>
      <c r="D100" s="131">
        <f t="shared" si="17"/>
        <v>25400.25</v>
      </c>
      <c r="E100" s="131">
        <f t="shared" si="28"/>
        <v>25400.25</v>
      </c>
      <c r="F100" s="138">
        <f t="shared" si="18"/>
        <v>22893.400684931508</v>
      </c>
      <c r="G100" s="132">
        <f t="shared" si="26"/>
        <v>0</v>
      </c>
      <c r="H100" s="132">
        <f t="shared" si="27"/>
        <v>320.50760958904107</v>
      </c>
      <c r="I100" s="9">
        <f t="shared" si="19"/>
        <v>22572.893075342468</v>
      </c>
      <c r="J100" s="66"/>
      <c r="K100" s="11"/>
      <c r="L100" s="11"/>
      <c r="M100" s="6">
        <f t="shared" si="20"/>
        <v>61271</v>
      </c>
      <c r="N100" s="40" t="s">
        <v>177</v>
      </c>
      <c r="O100" s="38">
        <f t="shared" si="21"/>
        <v>0</v>
      </c>
      <c r="P100" s="38">
        <f t="shared" si="29"/>
        <v>2506.8493150684931</v>
      </c>
      <c r="Q100" s="38">
        <f t="shared" si="22"/>
        <v>2506.8493150684931</v>
      </c>
      <c r="R100" s="38">
        <f t="shared" si="23"/>
        <v>2506.8493150684931</v>
      </c>
      <c r="S100" s="38">
        <f t="shared" si="24"/>
        <v>0</v>
      </c>
      <c r="T100" s="38">
        <f t="shared" si="25"/>
        <v>0</v>
      </c>
    </row>
    <row r="101" spans="1:20" ht="20.25" customHeight="1" x14ac:dyDescent="0.3">
      <c r="A101" s="62"/>
      <c r="B101" s="6">
        <f t="shared" si="15"/>
        <v>61637</v>
      </c>
      <c r="C101" s="117" t="str">
        <f t="shared" si="16"/>
        <v/>
      </c>
      <c r="D101" s="131">
        <f t="shared" si="17"/>
        <v>25400.25</v>
      </c>
      <c r="E101" s="131">
        <f t="shared" si="28"/>
        <v>25400.25</v>
      </c>
      <c r="F101" s="138">
        <f t="shared" si="18"/>
        <v>22893.400684931508</v>
      </c>
      <c r="G101" s="132">
        <f t="shared" si="26"/>
        <v>0</v>
      </c>
      <c r="H101" s="132">
        <f t="shared" si="27"/>
        <v>320.50760958904107</v>
      </c>
      <c r="I101" s="9">
        <f t="shared" si="19"/>
        <v>22572.893075342468</v>
      </c>
      <c r="J101" s="66"/>
      <c r="K101" s="11"/>
      <c r="L101" s="11"/>
      <c r="M101" s="6">
        <f t="shared" si="20"/>
        <v>61454</v>
      </c>
      <c r="N101" s="40" t="s">
        <v>178</v>
      </c>
      <c r="O101" s="38">
        <f t="shared" si="21"/>
        <v>0</v>
      </c>
      <c r="P101" s="38">
        <f t="shared" si="29"/>
        <v>2506.8493150684931</v>
      </c>
      <c r="Q101" s="38">
        <f t="shared" si="22"/>
        <v>2506.8493150684931</v>
      </c>
      <c r="R101" s="38">
        <f t="shared" si="23"/>
        <v>2506.8493150684931</v>
      </c>
      <c r="S101" s="38">
        <f t="shared" si="24"/>
        <v>0</v>
      </c>
      <c r="T101" s="38">
        <f t="shared" si="25"/>
        <v>0</v>
      </c>
    </row>
    <row r="102" spans="1:20" ht="20.25" customHeight="1" x14ac:dyDescent="0.3">
      <c r="A102" s="62"/>
      <c r="B102" s="6">
        <f t="shared" si="15"/>
        <v>61819</v>
      </c>
      <c r="C102" s="117" t="str">
        <f t="shared" si="16"/>
        <v/>
      </c>
      <c r="D102" s="131">
        <f t="shared" si="17"/>
        <v>25400.25</v>
      </c>
      <c r="E102" s="131">
        <f t="shared" si="28"/>
        <v>25400.25</v>
      </c>
      <c r="F102" s="138">
        <f t="shared" si="18"/>
        <v>22907.099315068492</v>
      </c>
      <c r="G102" s="132">
        <f t="shared" si="26"/>
        <v>0</v>
      </c>
      <c r="H102" s="132">
        <f t="shared" si="27"/>
        <v>320.69939041095887</v>
      </c>
      <c r="I102" s="9">
        <f t="shared" si="19"/>
        <v>22586.399924657533</v>
      </c>
      <c r="J102" s="66"/>
      <c r="K102" s="11"/>
      <c r="L102" s="11"/>
      <c r="M102" s="6">
        <f t="shared" si="20"/>
        <v>61637</v>
      </c>
      <c r="N102" s="40" t="s">
        <v>179</v>
      </c>
      <c r="O102" s="38">
        <f t="shared" si="21"/>
        <v>0</v>
      </c>
      <c r="P102" s="38">
        <f t="shared" si="29"/>
        <v>2493.1506849315069</v>
      </c>
      <c r="Q102" s="38">
        <f t="shared" si="22"/>
        <v>2493.1506849315069</v>
      </c>
      <c r="R102" s="38">
        <f t="shared" si="23"/>
        <v>2493.1506849315069</v>
      </c>
      <c r="S102" s="38">
        <f t="shared" si="24"/>
        <v>0</v>
      </c>
      <c r="T102" s="38">
        <f t="shared" si="25"/>
        <v>0</v>
      </c>
    </row>
    <row r="103" spans="1:20" ht="20.25" customHeight="1" x14ac:dyDescent="0.3">
      <c r="A103" s="62"/>
      <c r="B103" s="6">
        <f t="shared" si="15"/>
        <v>62002</v>
      </c>
      <c r="C103" s="117" t="str">
        <f t="shared" si="16"/>
        <v/>
      </c>
      <c r="D103" s="131">
        <f t="shared" si="17"/>
        <v>25400.25</v>
      </c>
      <c r="E103" s="131">
        <f t="shared" si="28"/>
        <v>25400.25</v>
      </c>
      <c r="F103" s="138">
        <f t="shared" si="18"/>
        <v>22893.400684931508</v>
      </c>
      <c r="G103" s="132">
        <f t="shared" si="26"/>
        <v>0</v>
      </c>
      <c r="H103" s="132">
        <f t="shared" si="27"/>
        <v>320.50760958904107</v>
      </c>
      <c r="I103" s="9">
        <f t="shared" si="19"/>
        <v>22572.893075342468</v>
      </c>
      <c r="J103" s="66"/>
      <c r="K103" s="11"/>
      <c r="L103" s="11"/>
      <c r="M103" s="6">
        <f t="shared" si="20"/>
        <v>61819</v>
      </c>
      <c r="N103" s="40" t="s">
        <v>180</v>
      </c>
      <c r="O103" s="38">
        <f t="shared" si="21"/>
        <v>0</v>
      </c>
      <c r="P103" s="38">
        <f t="shared" si="29"/>
        <v>2506.8493150684931</v>
      </c>
      <c r="Q103" s="38">
        <f t="shared" si="22"/>
        <v>2506.8493150684931</v>
      </c>
      <c r="R103" s="38">
        <f t="shared" si="23"/>
        <v>2506.8493150684931</v>
      </c>
      <c r="S103" s="38">
        <f t="shared" si="24"/>
        <v>0</v>
      </c>
      <c r="T103" s="38">
        <f t="shared" si="25"/>
        <v>0</v>
      </c>
    </row>
    <row r="104" spans="1:20" ht="20.25" customHeight="1" x14ac:dyDescent="0.3">
      <c r="A104" s="62"/>
      <c r="B104" s="6">
        <f t="shared" si="15"/>
        <v>62184</v>
      </c>
      <c r="C104" s="117" t="str">
        <f t="shared" si="16"/>
        <v/>
      </c>
      <c r="D104" s="131">
        <f t="shared" si="17"/>
        <v>25400.25</v>
      </c>
      <c r="E104" s="131">
        <f t="shared" si="28"/>
        <v>25400.25</v>
      </c>
      <c r="F104" s="138">
        <f t="shared" si="18"/>
        <v>22907.099315068492</v>
      </c>
      <c r="G104" s="132">
        <f t="shared" si="26"/>
        <v>0</v>
      </c>
      <c r="H104" s="132">
        <f t="shared" si="27"/>
        <v>320.69939041095887</v>
      </c>
      <c r="I104" s="9">
        <f t="shared" si="19"/>
        <v>22586.399924657533</v>
      </c>
      <c r="J104" s="66"/>
      <c r="K104" s="11"/>
      <c r="L104" s="11"/>
      <c r="M104" s="6">
        <f t="shared" si="20"/>
        <v>62002</v>
      </c>
      <c r="N104" s="40" t="s">
        <v>181</v>
      </c>
      <c r="O104" s="38">
        <f t="shared" si="21"/>
        <v>0</v>
      </c>
      <c r="P104" s="38">
        <f t="shared" si="29"/>
        <v>2493.1506849315069</v>
      </c>
      <c r="Q104" s="38">
        <f t="shared" si="22"/>
        <v>2493.1506849315069</v>
      </c>
      <c r="R104" s="38">
        <f t="shared" si="23"/>
        <v>2493.1506849315069</v>
      </c>
      <c r="S104" s="38">
        <f t="shared" si="24"/>
        <v>0</v>
      </c>
      <c r="T104" s="38">
        <f t="shared" si="25"/>
        <v>0</v>
      </c>
    </row>
    <row r="105" spans="1:20" ht="20.25" customHeight="1" x14ac:dyDescent="0.3">
      <c r="A105" s="62"/>
      <c r="B105" s="6">
        <f t="shared" si="15"/>
        <v>62367</v>
      </c>
      <c r="C105" s="117" t="str">
        <f t="shared" si="16"/>
        <v/>
      </c>
      <c r="D105" s="131">
        <f t="shared" si="17"/>
        <v>25400.25</v>
      </c>
      <c r="E105" s="131">
        <f t="shared" si="28"/>
        <v>25400.25</v>
      </c>
      <c r="F105" s="138">
        <f t="shared" si="18"/>
        <v>22893.400684931508</v>
      </c>
      <c r="G105" s="132">
        <f t="shared" si="26"/>
        <v>0</v>
      </c>
      <c r="H105" s="132">
        <f t="shared" si="27"/>
        <v>320.50760958904107</v>
      </c>
      <c r="I105" s="9">
        <f t="shared" si="19"/>
        <v>22572.893075342468</v>
      </c>
      <c r="J105" s="66"/>
      <c r="K105" s="11"/>
      <c r="L105" s="11"/>
      <c r="M105" s="6">
        <f t="shared" si="20"/>
        <v>62184</v>
      </c>
      <c r="N105" s="40" t="s">
        <v>182</v>
      </c>
      <c r="O105" s="38">
        <f t="shared" si="21"/>
        <v>0</v>
      </c>
      <c r="P105" s="38">
        <f t="shared" si="29"/>
        <v>2506.8493150684931</v>
      </c>
      <c r="Q105" s="38">
        <f t="shared" si="22"/>
        <v>2506.8493150684931</v>
      </c>
      <c r="R105" s="38">
        <f t="shared" si="23"/>
        <v>2506.8493150684931</v>
      </c>
      <c r="S105" s="38">
        <f t="shared" si="24"/>
        <v>0</v>
      </c>
      <c r="T105" s="38">
        <f t="shared" si="25"/>
        <v>0</v>
      </c>
    </row>
    <row r="106" spans="1:20" ht="20.25" customHeight="1" x14ac:dyDescent="0.3">
      <c r="A106" s="62"/>
      <c r="B106" s="6">
        <f t="shared" si="15"/>
        <v>62549</v>
      </c>
      <c r="C106" s="117" t="str">
        <f t="shared" si="16"/>
        <v/>
      </c>
      <c r="D106" s="131">
        <f t="shared" si="17"/>
        <v>25400.25</v>
      </c>
      <c r="E106" s="131">
        <f t="shared" si="28"/>
        <v>25400.25</v>
      </c>
      <c r="F106" s="138">
        <f t="shared" si="18"/>
        <v>22907.099315068492</v>
      </c>
      <c r="G106" s="132">
        <f t="shared" si="26"/>
        <v>0</v>
      </c>
      <c r="H106" s="132">
        <f t="shared" si="27"/>
        <v>320.69939041095887</v>
      </c>
      <c r="I106" s="9">
        <f t="shared" si="19"/>
        <v>22586.399924657533</v>
      </c>
      <c r="J106" s="66"/>
      <c r="K106" s="11"/>
      <c r="L106" s="11"/>
      <c r="M106" s="6">
        <f t="shared" si="20"/>
        <v>62367</v>
      </c>
      <c r="N106" s="40" t="s">
        <v>183</v>
      </c>
      <c r="O106" s="38">
        <f t="shared" si="21"/>
        <v>0</v>
      </c>
      <c r="P106" s="38">
        <f t="shared" si="29"/>
        <v>2493.1506849315069</v>
      </c>
      <c r="Q106" s="38">
        <f t="shared" si="22"/>
        <v>2493.1506849315069</v>
      </c>
      <c r="R106" s="38">
        <f t="shared" si="23"/>
        <v>2493.1506849315069</v>
      </c>
      <c r="S106" s="38">
        <f t="shared" si="24"/>
        <v>0</v>
      </c>
      <c r="T106" s="38">
        <f t="shared" si="25"/>
        <v>0</v>
      </c>
    </row>
    <row r="107" spans="1:20" ht="20.25" customHeight="1" x14ac:dyDescent="0.3">
      <c r="A107" s="62"/>
      <c r="B107" s="6">
        <f t="shared" si="15"/>
        <v>62732</v>
      </c>
      <c r="C107" s="117" t="str">
        <f t="shared" si="16"/>
        <v/>
      </c>
      <c r="D107" s="131">
        <f t="shared" si="17"/>
        <v>25400.25</v>
      </c>
      <c r="E107" s="131">
        <f t="shared" si="28"/>
        <v>25400.25</v>
      </c>
      <c r="F107" s="138">
        <f t="shared" si="18"/>
        <v>22893.400684931508</v>
      </c>
      <c r="G107" s="132">
        <f t="shared" si="26"/>
        <v>0</v>
      </c>
      <c r="H107" s="132">
        <f t="shared" si="27"/>
        <v>320.50760958904107</v>
      </c>
      <c r="I107" s="9">
        <f t="shared" si="19"/>
        <v>22572.893075342468</v>
      </c>
      <c r="J107" s="66"/>
      <c r="K107" s="11"/>
      <c r="L107" s="11"/>
      <c r="M107" s="6">
        <f t="shared" si="20"/>
        <v>62549</v>
      </c>
      <c r="N107" s="40" t="s">
        <v>184</v>
      </c>
      <c r="O107" s="38">
        <f t="shared" si="21"/>
        <v>0</v>
      </c>
      <c r="P107" s="38">
        <f t="shared" si="29"/>
        <v>2506.8493150684931</v>
      </c>
      <c r="Q107" s="38">
        <f t="shared" si="22"/>
        <v>2506.8493150684931</v>
      </c>
      <c r="R107" s="38">
        <f t="shared" si="23"/>
        <v>2506.8493150684931</v>
      </c>
      <c r="S107" s="38">
        <f t="shared" si="24"/>
        <v>0</v>
      </c>
      <c r="T107" s="38">
        <f t="shared" si="25"/>
        <v>0</v>
      </c>
    </row>
    <row r="108" spans="1:20" ht="20.25" customHeight="1" x14ac:dyDescent="0.3">
      <c r="A108" s="62"/>
      <c r="B108" s="6">
        <f t="shared" si="15"/>
        <v>62915</v>
      </c>
      <c r="C108" s="117" t="str">
        <f t="shared" si="16"/>
        <v/>
      </c>
      <c r="D108" s="131">
        <f t="shared" si="17"/>
        <v>25400.25</v>
      </c>
      <c r="E108" s="131">
        <f t="shared" si="28"/>
        <v>25400.25</v>
      </c>
      <c r="F108" s="138">
        <f t="shared" si="18"/>
        <v>22893.400684931508</v>
      </c>
      <c r="G108" s="132">
        <f t="shared" si="26"/>
        <v>0</v>
      </c>
      <c r="H108" s="132">
        <f t="shared" si="27"/>
        <v>320.50760958904107</v>
      </c>
      <c r="I108" s="9">
        <f t="shared" si="19"/>
        <v>22572.893075342468</v>
      </c>
      <c r="J108" s="66"/>
      <c r="K108" s="11"/>
      <c r="L108" s="11"/>
      <c r="M108" s="6">
        <f t="shared" si="20"/>
        <v>62732</v>
      </c>
      <c r="N108" s="40" t="s">
        <v>185</v>
      </c>
      <c r="O108" s="38">
        <f t="shared" si="21"/>
        <v>0</v>
      </c>
      <c r="P108" s="38">
        <f t="shared" si="29"/>
        <v>2506.8493150684931</v>
      </c>
      <c r="Q108" s="38">
        <f t="shared" si="22"/>
        <v>2506.8493150684931</v>
      </c>
      <c r="R108" s="38">
        <f t="shared" si="23"/>
        <v>2506.8493150684931</v>
      </c>
      <c r="S108" s="38">
        <f t="shared" si="24"/>
        <v>0</v>
      </c>
      <c r="T108" s="38">
        <f t="shared" si="25"/>
        <v>0</v>
      </c>
    </row>
    <row r="109" spans="1:20" ht="20.25" customHeight="1" x14ac:dyDescent="0.3">
      <c r="A109" s="62"/>
      <c r="B109" s="6">
        <f t="shared" si="15"/>
        <v>63098</v>
      </c>
      <c r="C109" s="117" t="str">
        <f t="shared" si="16"/>
        <v/>
      </c>
      <c r="D109" s="131">
        <f t="shared" si="17"/>
        <v>25400.25</v>
      </c>
      <c r="E109" s="131">
        <f t="shared" si="28"/>
        <v>25400.25</v>
      </c>
      <c r="F109" s="138">
        <f t="shared" si="18"/>
        <v>22893.400684931508</v>
      </c>
      <c r="G109" s="132">
        <f t="shared" si="26"/>
        <v>0</v>
      </c>
      <c r="H109" s="132">
        <f t="shared" si="27"/>
        <v>320.50760958904107</v>
      </c>
      <c r="I109" s="9">
        <f t="shared" si="19"/>
        <v>22572.893075342468</v>
      </c>
      <c r="J109" s="66"/>
      <c r="K109" s="11"/>
      <c r="L109" s="11"/>
      <c r="M109" s="6">
        <f t="shared" si="20"/>
        <v>62915</v>
      </c>
      <c r="N109" s="40" t="s">
        <v>186</v>
      </c>
      <c r="O109" s="38">
        <f t="shared" si="21"/>
        <v>0</v>
      </c>
      <c r="P109" s="38">
        <f t="shared" si="29"/>
        <v>2506.8493150684931</v>
      </c>
      <c r="Q109" s="38">
        <f t="shared" si="22"/>
        <v>2506.8493150684931</v>
      </c>
      <c r="R109" s="38">
        <f t="shared" si="23"/>
        <v>2506.8493150684931</v>
      </c>
      <c r="S109" s="38">
        <f t="shared" si="24"/>
        <v>0</v>
      </c>
      <c r="T109" s="38">
        <f t="shared" si="25"/>
        <v>0</v>
      </c>
    </row>
    <row r="110" spans="1:20" ht="20.25" customHeight="1" x14ac:dyDescent="0.3">
      <c r="A110" s="62"/>
      <c r="B110" s="6">
        <f t="shared" si="15"/>
        <v>63280</v>
      </c>
      <c r="C110" s="117" t="str">
        <f t="shared" si="16"/>
        <v/>
      </c>
      <c r="D110" s="131">
        <f t="shared" si="17"/>
        <v>25400.25</v>
      </c>
      <c r="E110" s="131">
        <f t="shared" si="28"/>
        <v>25400.25</v>
      </c>
      <c r="F110" s="138">
        <f t="shared" si="18"/>
        <v>22907.099315068492</v>
      </c>
      <c r="G110" s="132">
        <f t="shared" si="26"/>
        <v>0</v>
      </c>
      <c r="H110" s="132">
        <f t="shared" si="27"/>
        <v>320.69939041095887</v>
      </c>
      <c r="I110" s="9">
        <f t="shared" si="19"/>
        <v>22586.399924657533</v>
      </c>
      <c r="J110" s="66"/>
      <c r="K110" s="11"/>
      <c r="L110" s="11"/>
      <c r="M110" s="6">
        <f t="shared" si="20"/>
        <v>63098</v>
      </c>
      <c r="N110" s="40" t="s">
        <v>187</v>
      </c>
      <c r="O110" s="38">
        <f t="shared" si="21"/>
        <v>0</v>
      </c>
      <c r="P110" s="38">
        <f t="shared" si="29"/>
        <v>2493.1506849315069</v>
      </c>
      <c r="Q110" s="38">
        <f t="shared" si="22"/>
        <v>2493.1506849315069</v>
      </c>
      <c r="R110" s="38">
        <f t="shared" si="23"/>
        <v>2493.1506849315069</v>
      </c>
      <c r="S110" s="38">
        <f t="shared" si="24"/>
        <v>0</v>
      </c>
      <c r="T110" s="38">
        <f t="shared" si="25"/>
        <v>0</v>
      </c>
    </row>
    <row r="111" spans="1:20" ht="20.25" customHeight="1" x14ac:dyDescent="0.3">
      <c r="A111" s="62"/>
      <c r="B111" s="6">
        <f t="shared" si="15"/>
        <v>63463</v>
      </c>
      <c r="C111" s="117" t="str">
        <f t="shared" si="16"/>
        <v/>
      </c>
      <c r="D111" s="131">
        <f t="shared" si="17"/>
        <v>25400.25</v>
      </c>
      <c r="E111" s="131">
        <f t="shared" si="28"/>
        <v>25400.25</v>
      </c>
      <c r="F111" s="138">
        <f t="shared" si="18"/>
        <v>22893.400684931508</v>
      </c>
      <c r="G111" s="132">
        <f t="shared" si="26"/>
        <v>0</v>
      </c>
      <c r="H111" s="132">
        <f t="shared" si="27"/>
        <v>320.50760958904107</v>
      </c>
      <c r="I111" s="9">
        <f t="shared" si="19"/>
        <v>22572.893075342468</v>
      </c>
      <c r="J111" s="66"/>
      <c r="K111" s="11"/>
      <c r="L111" s="11"/>
      <c r="M111" s="6">
        <f t="shared" si="20"/>
        <v>63280</v>
      </c>
      <c r="N111" s="40" t="s">
        <v>188</v>
      </c>
      <c r="O111" s="38">
        <f t="shared" si="21"/>
        <v>0</v>
      </c>
      <c r="P111" s="38">
        <f t="shared" si="29"/>
        <v>2506.8493150684931</v>
      </c>
      <c r="Q111" s="38">
        <f t="shared" si="22"/>
        <v>2506.8493150684931</v>
      </c>
      <c r="R111" s="38">
        <f t="shared" si="23"/>
        <v>2506.8493150684931</v>
      </c>
      <c r="S111" s="38">
        <f t="shared" si="24"/>
        <v>0</v>
      </c>
      <c r="T111" s="38">
        <f t="shared" si="25"/>
        <v>0</v>
      </c>
    </row>
    <row r="112" spans="1:20" ht="20.25" customHeight="1" x14ac:dyDescent="0.3">
      <c r="A112" s="62"/>
      <c r="B112" s="6">
        <f t="shared" si="15"/>
        <v>63645</v>
      </c>
      <c r="C112" s="117" t="str">
        <f t="shared" si="16"/>
        <v/>
      </c>
      <c r="D112" s="131">
        <f t="shared" si="17"/>
        <v>25400.25</v>
      </c>
      <c r="E112" s="131">
        <f t="shared" si="28"/>
        <v>25400.25</v>
      </c>
      <c r="F112" s="138">
        <f t="shared" si="18"/>
        <v>22907.099315068492</v>
      </c>
      <c r="G112" s="132">
        <f t="shared" si="26"/>
        <v>0</v>
      </c>
      <c r="H112" s="132">
        <f t="shared" si="27"/>
        <v>320.69939041095887</v>
      </c>
      <c r="I112" s="9">
        <f t="shared" si="19"/>
        <v>22586.399924657533</v>
      </c>
      <c r="J112" s="66"/>
      <c r="K112" s="11"/>
      <c r="L112" s="11"/>
      <c r="M112" s="6">
        <f t="shared" si="20"/>
        <v>63463</v>
      </c>
      <c r="N112" s="40" t="s">
        <v>189</v>
      </c>
      <c r="O112" s="38">
        <f t="shared" si="21"/>
        <v>0</v>
      </c>
      <c r="P112" s="38">
        <f t="shared" si="29"/>
        <v>2493.1506849315069</v>
      </c>
      <c r="Q112" s="38">
        <f t="shared" si="22"/>
        <v>2493.1506849315069</v>
      </c>
      <c r="R112" s="38">
        <f t="shared" si="23"/>
        <v>2493.1506849315069</v>
      </c>
      <c r="S112" s="38">
        <f t="shared" si="24"/>
        <v>0</v>
      </c>
      <c r="T112" s="38">
        <f t="shared" si="25"/>
        <v>0</v>
      </c>
    </row>
    <row r="113" spans="1:20" ht="20.25" customHeight="1" x14ac:dyDescent="0.3">
      <c r="A113" s="62"/>
      <c r="B113" s="6">
        <f t="shared" si="15"/>
        <v>63828</v>
      </c>
      <c r="C113" s="117" t="str">
        <f t="shared" si="16"/>
        <v/>
      </c>
      <c r="D113" s="131">
        <f t="shared" si="17"/>
        <v>25400.25</v>
      </c>
      <c r="E113" s="131">
        <f t="shared" si="28"/>
        <v>25400.25</v>
      </c>
      <c r="F113" s="138">
        <f t="shared" si="18"/>
        <v>22893.400684931508</v>
      </c>
      <c r="G113" s="132">
        <f t="shared" si="26"/>
        <v>0</v>
      </c>
      <c r="H113" s="132">
        <f t="shared" si="27"/>
        <v>320.50760958904107</v>
      </c>
      <c r="I113" s="9">
        <f t="shared" si="19"/>
        <v>22572.893075342468</v>
      </c>
      <c r="J113" s="66"/>
      <c r="K113" s="11"/>
      <c r="L113" s="11"/>
      <c r="M113" s="6">
        <f t="shared" si="20"/>
        <v>63645</v>
      </c>
      <c r="N113" s="40" t="s">
        <v>190</v>
      </c>
      <c r="O113" s="38">
        <f t="shared" si="21"/>
        <v>0</v>
      </c>
      <c r="P113" s="38">
        <f t="shared" si="29"/>
        <v>2506.8493150684931</v>
      </c>
      <c r="Q113" s="38">
        <f t="shared" si="22"/>
        <v>2506.8493150684931</v>
      </c>
      <c r="R113" s="38">
        <f t="shared" si="23"/>
        <v>2506.8493150684931</v>
      </c>
      <c r="S113" s="38">
        <f t="shared" si="24"/>
        <v>0</v>
      </c>
      <c r="T113" s="38">
        <f t="shared" si="25"/>
        <v>0</v>
      </c>
    </row>
    <row r="114" spans="1:20" ht="20.25" customHeight="1" x14ac:dyDescent="0.3">
      <c r="A114" s="62"/>
      <c r="B114" s="6">
        <f t="shared" si="15"/>
        <v>64010</v>
      </c>
      <c r="C114" s="117" t="str">
        <f t="shared" si="16"/>
        <v/>
      </c>
      <c r="D114" s="131">
        <f t="shared" si="17"/>
        <v>25400.25</v>
      </c>
      <c r="E114" s="131">
        <f t="shared" si="28"/>
        <v>25400.25</v>
      </c>
      <c r="F114" s="138">
        <f t="shared" si="18"/>
        <v>22907.099315068492</v>
      </c>
      <c r="G114" s="132">
        <f t="shared" si="26"/>
        <v>0</v>
      </c>
      <c r="H114" s="132">
        <f t="shared" si="27"/>
        <v>320.69939041095887</v>
      </c>
      <c r="I114" s="9">
        <f t="shared" si="19"/>
        <v>22586.399924657533</v>
      </c>
      <c r="J114" s="66"/>
      <c r="K114" s="11"/>
      <c r="L114" s="11"/>
      <c r="M114" s="6">
        <f t="shared" si="20"/>
        <v>63828</v>
      </c>
      <c r="N114" s="40" t="s">
        <v>191</v>
      </c>
      <c r="O114" s="38">
        <f t="shared" si="21"/>
        <v>0</v>
      </c>
      <c r="P114" s="38">
        <f t="shared" si="29"/>
        <v>2493.1506849315069</v>
      </c>
      <c r="Q114" s="38">
        <f t="shared" si="22"/>
        <v>2493.1506849315069</v>
      </c>
      <c r="R114" s="38">
        <f t="shared" si="23"/>
        <v>2493.1506849315069</v>
      </c>
      <c r="S114" s="38">
        <f t="shared" si="24"/>
        <v>0</v>
      </c>
      <c r="T114" s="38">
        <f t="shared" si="25"/>
        <v>0</v>
      </c>
    </row>
    <row r="115" spans="1:20" ht="20.25" customHeight="1" x14ac:dyDescent="0.3">
      <c r="A115" s="62"/>
      <c r="B115" s="6">
        <f t="shared" si="15"/>
        <v>64193</v>
      </c>
      <c r="C115" s="117" t="str">
        <f t="shared" si="16"/>
        <v/>
      </c>
      <c r="D115" s="131">
        <f t="shared" si="17"/>
        <v>25400.25</v>
      </c>
      <c r="E115" s="131">
        <f t="shared" si="28"/>
        <v>25400.25</v>
      </c>
      <c r="F115" s="138">
        <f t="shared" si="18"/>
        <v>22893.400684931508</v>
      </c>
      <c r="G115" s="132">
        <f t="shared" si="26"/>
        <v>0</v>
      </c>
      <c r="H115" s="132">
        <f t="shared" si="27"/>
        <v>320.50760958904107</v>
      </c>
      <c r="I115" s="9">
        <f t="shared" si="19"/>
        <v>22572.893075342468</v>
      </c>
      <c r="J115" s="66"/>
      <c r="K115" s="11"/>
      <c r="L115" s="11"/>
      <c r="M115" s="6">
        <f t="shared" si="20"/>
        <v>64010</v>
      </c>
      <c r="N115" s="40" t="s">
        <v>192</v>
      </c>
      <c r="O115" s="38">
        <f t="shared" si="21"/>
        <v>0</v>
      </c>
      <c r="P115" s="38">
        <f t="shared" si="29"/>
        <v>2506.8493150684931</v>
      </c>
      <c r="Q115" s="38">
        <f t="shared" si="22"/>
        <v>2506.8493150684931</v>
      </c>
      <c r="R115" s="38">
        <f t="shared" si="23"/>
        <v>2506.8493150684931</v>
      </c>
      <c r="S115" s="38">
        <f t="shared" si="24"/>
        <v>0</v>
      </c>
      <c r="T115" s="38">
        <f t="shared" si="25"/>
        <v>0</v>
      </c>
    </row>
    <row r="116" spans="1:20" ht="20.25" customHeight="1" x14ac:dyDescent="0.3">
      <c r="A116" s="62"/>
      <c r="B116" s="6">
        <f t="shared" si="15"/>
        <v>64376</v>
      </c>
      <c r="C116" s="117" t="str">
        <f t="shared" si="16"/>
        <v/>
      </c>
      <c r="D116" s="131">
        <f t="shared" si="17"/>
        <v>25400.25</v>
      </c>
      <c r="E116" s="131">
        <f t="shared" si="28"/>
        <v>25400.25</v>
      </c>
      <c r="F116" s="138">
        <f t="shared" si="18"/>
        <v>22893.400684931508</v>
      </c>
      <c r="G116" s="132">
        <f t="shared" si="26"/>
        <v>0</v>
      </c>
      <c r="H116" s="132">
        <f t="shared" si="27"/>
        <v>320.50760958904107</v>
      </c>
      <c r="I116" s="9">
        <f t="shared" si="19"/>
        <v>22572.893075342468</v>
      </c>
      <c r="J116" s="66"/>
      <c r="K116" s="11"/>
      <c r="L116" s="11"/>
      <c r="M116" s="6">
        <f t="shared" si="20"/>
        <v>64193</v>
      </c>
      <c r="N116" s="40" t="s">
        <v>193</v>
      </c>
      <c r="O116" s="38">
        <f t="shared" si="21"/>
        <v>0</v>
      </c>
      <c r="P116" s="38">
        <f t="shared" si="29"/>
        <v>2506.8493150684931</v>
      </c>
      <c r="Q116" s="38">
        <f t="shared" si="22"/>
        <v>2506.8493150684931</v>
      </c>
      <c r="R116" s="38">
        <f t="shared" si="23"/>
        <v>2506.8493150684931</v>
      </c>
      <c r="S116" s="38">
        <f t="shared" si="24"/>
        <v>0</v>
      </c>
      <c r="T116" s="38">
        <f t="shared" si="25"/>
        <v>0</v>
      </c>
    </row>
    <row r="117" spans="1:20" ht="20.25" customHeight="1" x14ac:dyDescent="0.3">
      <c r="A117" s="62"/>
      <c r="B117" s="6">
        <f t="shared" si="15"/>
        <v>64559</v>
      </c>
      <c r="C117" s="117" t="str">
        <f t="shared" si="16"/>
        <v/>
      </c>
      <c r="D117" s="131">
        <f t="shared" si="17"/>
        <v>25400.25</v>
      </c>
      <c r="E117" s="131">
        <f t="shared" si="28"/>
        <v>25400.25</v>
      </c>
      <c r="F117" s="138">
        <f t="shared" si="18"/>
        <v>22893.400684931508</v>
      </c>
      <c r="G117" s="132">
        <f t="shared" si="26"/>
        <v>0</v>
      </c>
      <c r="H117" s="132">
        <f t="shared" si="27"/>
        <v>320.50760958904107</v>
      </c>
      <c r="I117" s="9">
        <f t="shared" si="19"/>
        <v>22572.893075342468</v>
      </c>
      <c r="J117" s="66"/>
      <c r="K117" s="11"/>
      <c r="L117" s="11"/>
      <c r="M117" s="6">
        <f t="shared" si="20"/>
        <v>64376</v>
      </c>
      <c r="N117" s="40" t="s">
        <v>194</v>
      </c>
      <c r="O117" s="38">
        <f t="shared" si="21"/>
        <v>0</v>
      </c>
      <c r="P117" s="38">
        <f t="shared" si="29"/>
        <v>2506.8493150684931</v>
      </c>
      <c r="Q117" s="38">
        <f t="shared" si="22"/>
        <v>2506.8493150684931</v>
      </c>
      <c r="R117" s="38">
        <f t="shared" si="23"/>
        <v>2506.8493150684931</v>
      </c>
      <c r="S117" s="38">
        <f t="shared" si="24"/>
        <v>0</v>
      </c>
      <c r="T117" s="38">
        <f t="shared" si="25"/>
        <v>0</v>
      </c>
    </row>
    <row r="118" spans="1:20" ht="20.25" customHeight="1" x14ac:dyDescent="0.3">
      <c r="A118" s="62"/>
      <c r="B118" s="6">
        <f t="shared" si="15"/>
        <v>64741</v>
      </c>
      <c r="C118" s="117" t="str">
        <f t="shared" si="16"/>
        <v/>
      </c>
      <c r="D118" s="131">
        <f t="shared" si="17"/>
        <v>25400.25</v>
      </c>
      <c r="E118" s="131">
        <f t="shared" si="28"/>
        <v>25400.25</v>
      </c>
      <c r="F118" s="138">
        <f t="shared" si="18"/>
        <v>22907.099315068492</v>
      </c>
      <c r="G118" s="132">
        <f t="shared" si="26"/>
        <v>0</v>
      </c>
      <c r="H118" s="132">
        <f t="shared" si="27"/>
        <v>320.69939041095887</v>
      </c>
      <c r="I118" s="9">
        <f t="shared" si="19"/>
        <v>22586.399924657533</v>
      </c>
      <c r="J118" s="66"/>
      <c r="K118" s="11"/>
      <c r="L118" s="11"/>
      <c r="M118" s="6">
        <f t="shared" si="20"/>
        <v>64559</v>
      </c>
      <c r="N118" s="40" t="s">
        <v>195</v>
      </c>
      <c r="O118" s="38">
        <f t="shared" si="21"/>
        <v>0</v>
      </c>
      <c r="P118" s="38">
        <f t="shared" si="29"/>
        <v>2493.1506849315069</v>
      </c>
      <c r="Q118" s="38">
        <f t="shared" si="22"/>
        <v>2493.1506849315069</v>
      </c>
      <c r="R118" s="38">
        <f t="shared" si="23"/>
        <v>2493.1506849315069</v>
      </c>
      <c r="S118" s="38">
        <f t="shared" si="24"/>
        <v>0</v>
      </c>
      <c r="T118" s="38">
        <f t="shared" si="25"/>
        <v>0</v>
      </c>
    </row>
    <row r="119" spans="1:20" ht="20.25" customHeight="1" x14ac:dyDescent="0.3">
      <c r="A119" s="62"/>
      <c r="B119" s="6">
        <f t="shared" si="15"/>
        <v>64924</v>
      </c>
      <c r="C119" s="117" t="str">
        <f t="shared" si="16"/>
        <v/>
      </c>
      <c r="D119" s="131">
        <f t="shared" si="17"/>
        <v>25400.25</v>
      </c>
      <c r="E119" s="131">
        <f t="shared" si="28"/>
        <v>25400.25</v>
      </c>
      <c r="F119" s="138">
        <f t="shared" si="18"/>
        <v>22893.400684931508</v>
      </c>
      <c r="G119" s="132">
        <f t="shared" si="26"/>
        <v>0</v>
      </c>
      <c r="H119" s="132">
        <f t="shared" si="27"/>
        <v>320.50760958904107</v>
      </c>
      <c r="I119" s="9">
        <f t="shared" si="19"/>
        <v>22572.893075342468</v>
      </c>
      <c r="J119" s="66"/>
      <c r="K119" s="11"/>
      <c r="L119" s="11"/>
      <c r="M119" s="6">
        <f t="shared" si="20"/>
        <v>64741</v>
      </c>
      <c r="N119" s="40" t="s">
        <v>196</v>
      </c>
      <c r="O119" s="38">
        <f t="shared" si="21"/>
        <v>0</v>
      </c>
      <c r="P119" s="38">
        <f t="shared" si="29"/>
        <v>2506.8493150684931</v>
      </c>
      <c r="Q119" s="38">
        <f t="shared" si="22"/>
        <v>2506.8493150684931</v>
      </c>
      <c r="R119" s="38">
        <f t="shared" si="23"/>
        <v>2506.8493150684931</v>
      </c>
      <c r="S119" s="38">
        <f t="shared" si="24"/>
        <v>0</v>
      </c>
      <c r="T119" s="38">
        <f t="shared" si="25"/>
        <v>0</v>
      </c>
    </row>
    <row r="120" spans="1:20" ht="20.25" customHeight="1" x14ac:dyDescent="0.3">
      <c r="A120" s="62"/>
      <c r="B120" s="6">
        <f t="shared" si="15"/>
        <v>65106</v>
      </c>
      <c r="C120" s="117" t="str">
        <f t="shared" si="16"/>
        <v/>
      </c>
      <c r="D120" s="131">
        <f t="shared" si="17"/>
        <v>25400.25</v>
      </c>
      <c r="E120" s="131">
        <f t="shared" si="28"/>
        <v>25400.25</v>
      </c>
      <c r="F120" s="138">
        <f t="shared" si="18"/>
        <v>22907.099315068492</v>
      </c>
      <c r="G120" s="132">
        <f t="shared" si="26"/>
        <v>0</v>
      </c>
      <c r="H120" s="132">
        <f t="shared" si="27"/>
        <v>320.69939041095887</v>
      </c>
      <c r="I120" s="9">
        <f t="shared" si="19"/>
        <v>22586.399924657533</v>
      </c>
      <c r="J120" s="66"/>
      <c r="K120" s="11"/>
      <c r="L120" s="11"/>
      <c r="M120" s="6">
        <f t="shared" si="20"/>
        <v>64924</v>
      </c>
      <c r="N120" s="40" t="s">
        <v>197</v>
      </c>
      <c r="O120" s="38">
        <f t="shared" si="21"/>
        <v>0</v>
      </c>
      <c r="P120" s="38">
        <f t="shared" si="29"/>
        <v>2493.1506849315069</v>
      </c>
      <c r="Q120" s="38">
        <f t="shared" si="22"/>
        <v>2493.1506849315069</v>
      </c>
      <c r="R120" s="38">
        <f t="shared" si="23"/>
        <v>2493.1506849315069</v>
      </c>
      <c r="S120" s="38">
        <f t="shared" si="24"/>
        <v>0</v>
      </c>
      <c r="T120" s="38">
        <f t="shared" si="25"/>
        <v>0</v>
      </c>
    </row>
    <row r="121" spans="1:20" ht="20.25" customHeight="1" x14ac:dyDescent="0.3">
      <c r="A121" s="62"/>
      <c r="B121" s="6">
        <f t="shared" si="15"/>
        <v>65289</v>
      </c>
      <c r="C121" s="117" t="str">
        <f t="shared" si="16"/>
        <v/>
      </c>
      <c r="D121" s="131">
        <f t="shared" si="17"/>
        <v>25400.25</v>
      </c>
      <c r="E121" s="131">
        <f t="shared" si="28"/>
        <v>25400.25</v>
      </c>
      <c r="F121" s="138">
        <f t="shared" si="18"/>
        <v>22893.400684931508</v>
      </c>
      <c r="G121" s="132">
        <f t="shared" si="26"/>
        <v>0</v>
      </c>
      <c r="H121" s="132">
        <f t="shared" si="27"/>
        <v>320.50760958904107</v>
      </c>
      <c r="I121" s="9">
        <f t="shared" si="19"/>
        <v>22572.893075342468</v>
      </c>
      <c r="J121" s="66"/>
      <c r="K121" s="11"/>
      <c r="L121" s="11"/>
      <c r="M121" s="6">
        <f t="shared" si="20"/>
        <v>65106</v>
      </c>
      <c r="N121" s="40" t="s">
        <v>198</v>
      </c>
      <c r="O121" s="38">
        <f t="shared" si="21"/>
        <v>0</v>
      </c>
      <c r="P121" s="38">
        <f t="shared" si="29"/>
        <v>2506.8493150684931</v>
      </c>
      <c r="Q121" s="38">
        <f t="shared" si="22"/>
        <v>2506.8493150684931</v>
      </c>
      <c r="R121" s="38">
        <f t="shared" si="23"/>
        <v>2506.8493150684931</v>
      </c>
      <c r="S121" s="38">
        <f t="shared" si="24"/>
        <v>0</v>
      </c>
      <c r="T121" s="38">
        <f t="shared" si="25"/>
        <v>0</v>
      </c>
    </row>
    <row r="122" spans="1:20" ht="20.25" customHeight="1" x14ac:dyDescent="0.3">
      <c r="A122" s="62"/>
      <c r="B122" s="6">
        <f t="shared" si="15"/>
        <v>65471</v>
      </c>
      <c r="C122" s="117" t="str">
        <f t="shared" si="16"/>
        <v/>
      </c>
      <c r="D122" s="131">
        <f t="shared" si="17"/>
        <v>25400.25</v>
      </c>
      <c r="E122" s="131">
        <f t="shared" si="28"/>
        <v>25400.25</v>
      </c>
      <c r="F122" s="138">
        <f t="shared" si="18"/>
        <v>22907.099315068492</v>
      </c>
      <c r="G122" s="132">
        <f t="shared" si="26"/>
        <v>0</v>
      </c>
      <c r="H122" s="132">
        <f t="shared" si="27"/>
        <v>320.69939041095887</v>
      </c>
      <c r="I122" s="9">
        <f t="shared" si="19"/>
        <v>22586.399924657533</v>
      </c>
      <c r="J122" s="66"/>
      <c r="K122" s="11"/>
      <c r="L122" s="11"/>
      <c r="M122" s="6">
        <f t="shared" si="20"/>
        <v>65289</v>
      </c>
      <c r="N122" s="40" t="s">
        <v>199</v>
      </c>
      <c r="O122" s="38">
        <f t="shared" si="21"/>
        <v>0</v>
      </c>
      <c r="P122" s="38">
        <f t="shared" si="29"/>
        <v>2493.1506849315069</v>
      </c>
      <c r="Q122" s="38">
        <f t="shared" si="22"/>
        <v>2493.1506849315069</v>
      </c>
      <c r="R122" s="38">
        <f t="shared" si="23"/>
        <v>2493.1506849315069</v>
      </c>
      <c r="S122" s="38">
        <f t="shared" si="24"/>
        <v>0</v>
      </c>
      <c r="T122" s="38">
        <f t="shared" si="25"/>
        <v>0</v>
      </c>
    </row>
    <row r="123" spans="1:20" ht="20.25" customHeight="1" x14ac:dyDescent="0.3">
      <c r="A123" s="62"/>
      <c r="B123" s="6">
        <f t="shared" ref="B123:B162" si="30">IF(B122&lt;$C$8,COUPNCD(B122,$C$8,IF($C$10=O$9,1,IF($C$10=O$8,2,4))),"")</f>
        <v>65654</v>
      </c>
      <c r="C123" s="117" t="str">
        <f t="shared" ref="C123:C162" si="31">IF(B123=$C$8,$E$9,"")</f>
        <v/>
      </c>
      <c r="D123" s="131">
        <f t="shared" ref="D123:D162" si="32">IF(B123="","",IF($C$13="krw",(TRUNC(($C$9*$E$9)/(IF($C$10=$O$9,1,IF($C$10=$O$8,2,4))),2)*$C$14),(TRUNC(($C$9*$E$9)/(IF($C$10=$O$9,1,IF($C$10=$O$8,2,4))),2))))</f>
        <v>25400.25</v>
      </c>
      <c r="E123" s="131">
        <f t="shared" si="28"/>
        <v>25400.25</v>
      </c>
      <c r="F123" s="138">
        <f t="shared" ref="F123:F162" si="33">IF(B123="","",IF(E123&gt;R123,E123-R123,0))</f>
        <v>22893.400684931508</v>
      </c>
      <c r="G123" s="132">
        <f t="shared" si="26"/>
        <v>0</v>
      </c>
      <c r="H123" s="132">
        <f t="shared" si="27"/>
        <v>320.50760958904107</v>
      </c>
      <c r="I123" s="9">
        <f t="shared" ref="I123:I162" si="34">IF(B123="","",D123-P123-G123-H123)</f>
        <v>22572.893075342468</v>
      </c>
      <c r="J123" s="66"/>
      <c r="K123" s="11"/>
      <c r="L123" s="11"/>
      <c r="M123" s="6">
        <f t="shared" ref="M123:M161" si="35">IF(B122&lt;$C$8,COUPNCD(M122,$C$8,IF($C$10=$O$9,1,IF($C$10=$O$8,2,4))),"")</f>
        <v>65471</v>
      </c>
      <c r="N123" s="40" t="s">
        <v>200</v>
      </c>
      <c r="O123" s="38">
        <f t="shared" ref="O123:O161" si="36">S122</f>
        <v>0</v>
      </c>
      <c r="P123" s="38">
        <f t="shared" si="29"/>
        <v>2506.8493150684931</v>
      </c>
      <c r="Q123" s="38">
        <f t="shared" ref="Q123:Q161" si="37">+T122+P123</f>
        <v>2506.8493150684931</v>
      </c>
      <c r="R123" s="38">
        <f t="shared" ref="R123:R161" si="38">+O123+Q123</f>
        <v>2506.8493150684931</v>
      </c>
      <c r="S123" s="38">
        <f t="shared" ref="S123:S161" si="39">IF(E123&lt;O123,O123-E123,0)</f>
        <v>0</v>
      </c>
      <c r="T123" s="38">
        <f t="shared" ref="T123:T161" si="40">IF(S123&gt;0,Q123,IF(E123&gt;R123,0,Q123-(E123-O123)))</f>
        <v>0</v>
      </c>
    </row>
    <row r="124" spans="1:20" ht="20.25" customHeight="1" x14ac:dyDescent="0.3">
      <c r="A124" s="62"/>
      <c r="B124" s="6">
        <f t="shared" si="30"/>
        <v>65837</v>
      </c>
      <c r="C124" s="117" t="str">
        <f t="shared" si="31"/>
        <v/>
      </c>
      <c r="D124" s="131">
        <f t="shared" si="32"/>
        <v>25400.25</v>
      </c>
      <c r="E124" s="131">
        <f t="shared" si="28"/>
        <v>25400.25</v>
      </c>
      <c r="F124" s="138">
        <f t="shared" si="33"/>
        <v>22893.400684931508</v>
      </c>
      <c r="G124" s="132">
        <f t="shared" si="26"/>
        <v>0</v>
      </c>
      <c r="H124" s="132">
        <f t="shared" si="27"/>
        <v>320.50760958904107</v>
      </c>
      <c r="I124" s="9">
        <f t="shared" si="34"/>
        <v>22572.893075342468</v>
      </c>
      <c r="J124" s="66"/>
      <c r="K124" s="11"/>
      <c r="L124" s="11"/>
      <c r="M124" s="6">
        <f t="shared" si="35"/>
        <v>65654</v>
      </c>
      <c r="N124" s="40" t="s">
        <v>201</v>
      </c>
      <c r="O124" s="38">
        <f t="shared" si="36"/>
        <v>0</v>
      </c>
      <c r="P124" s="38">
        <f t="shared" si="29"/>
        <v>2506.8493150684931</v>
      </c>
      <c r="Q124" s="38">
        <f t="shared" si="37"/>
        <v>2506.8493150684931</v>
      </c>
      <c r="R124" s="38">
        <f t="shared" si="38"/>
        <v>2506.8493150684931</v>
      </c>
      <c r="S124" s="38">
        <f t="shared" si="39"/>
        <v>0</v>
      </c>
      <c r="T124" s="38">
        <f t="shared" si="40"/>
        <v>0</v>
      </c>
    </row>
    <row r="125" spans="1:20" ht="20.25" customHeight="1" x14ac:dyDescent="0.3">
      <c r="A125" s="62"/>
      <c r="B125" s="6">
        <f t="shared" si="30"/>
        <v>66020</v>
      </c>
      <c r="C125" s="117" t="str">
        <f t="shared" si="31"/>
        <v/>
      </c>
      <c r="D125" s="131">
        <f t="shared" si="32"/>
        <v>25400.25</v>
      </c>
      <c r="E125" s="131">
        <f t="shared" si="28"/>
        <v>25400.25</v>
      </c>
      <c r="F125" s="138">
        <f t="shared" si="33"/>
        <v>22893.400684931508</v>
      </c>
      <c r="G125" s="132">
        <f t="shared" si="26"/>
        <v>0</v>
      </c>
      <c r="H125" s="132">
        <f t="shared" si="27"/>
        <v>320.50760958904107</v>
      </c>
      <c r="I125" s="9">
        <f t="shared" si="34"/>
        <v>22572.893075342468</v>
      </c>
      <c r="J125" s="66"/>
      <c r="K125" s="11"/>
      <c r="L125" s="11"/>
      <c r="M125" s="6">
        <f t="shared" si="35"/>
        <v>65837</v>
      </c>
      <c r="N125" s="40" t="s">
        <v>202</v>
      </c>
      <c r="O125" s="38">
        <f t="shared" si="36"/>
        <v>0</v>
      </c>
      <c r="P125" s="38">
        <f t="shared" si="29"/>
        <v>2506.8493150684931</v>
      </c>
      <c r="Q125" s="38">
        <f t="shared" si="37"/>
        <v>2506.8493150684931</v>
      </c>
      <c r="R125" s="38">
        <f t="shared" si="38"/>
        <v>2506.8493150684931</v>
      </c>
      <c r="S125" s="38">
        <f t="shared" si="39"/>
        <v>0</v>
      </c>
      <c r="T125" s="38">
        <f t="shared" si="40"/>
        <v>0</v>
      </c>
    </row>
    <row r="126" spans="1:20" ht="20.25" customHeight="1" x14ac:dyDescent="0.3">
      <c r="A126" s="62"/>
      <c r="B126" s="6">
        <f t="shared" si="30"/>
        <v>66202</v>
      </c>
      <c r="C126" s="117" t="str">
        <f t="shared" si="31"/>
        <v/>
      </c>
      <c r="D126" s="131">
        <f t="shared" si="32"/>
        <v>25400.25</v>
      </c>
      <c r="E126" s="131">
        <f t="shared" si="28"/>
        <v>25400.25</v>
      </c>
      <c r="F126" s="138">
        <f t="shared" si="33"/>
        <v>22907.099315068492</v>
      </c>
      <c r="G126" s="132">
        <f t="shared" si="26"/>
        <v>0</v>
      </c>
      <c r="H126" s="132">
        <f t="shared" si="27"/>
        <v>320.69939041095887</v>
      </c>
      <c r="I126" s="9">
        <f t="shared" si="34"/>
        <v>22586.399924657533</v>
      </c>
      <c r="J126" s="66"/>
      <c r="K126" s="11"/>
      <c r="L126" s="11"/>
      <c r="M126" s="6">
        <f t="shared" si="35"/>
        <v>66020</v>
      </c>
      <c r="N126" s="40" t="s">
        <v>203</v>
      </c>
      <c r="O126" s="38">
        <f t="shared" si="36"/>
        <v>0</v>
      </c>
      <c r="P126" s="38">
        <f t="shared" si="29"/>
        <v>2493.1506849315069</v>
      </c>
      <c r="Q126" s="38">
        <f t="shared" si="37"/>
        <v>2493.1506849315069</v>
      </c>
      <c r="R126" s="38">
        <f t="shared" si="38"/>
        <v>2493.1506849315069</v>
      </c>
      <c r="S126" s="38">
        <f t="shared" si="39"/>
        <v>0</v>
      </c>
      <c r="T126" s="38">
        <f t="shared" si="40"/>
        <v>0</v>
      </c>
    </row>
    <row r="127" spans="1:20" ht="20.25" customHeight="1" x14ac:dyDescent="0.3">
      <c r="A127" s="62"/>
      <c r="B127" s="6">
        <f t="shared" si="30"/>
        <v>66385</v>
      </c>
      <c r="C127" s="117" t="str">
        <f t="shared" si="31"/>
        <v/>
      </c>
      <c r="D127" s="131">
        <f t="shared" si="32"/>
        <v>25400.25</v>
      </c>
      <c r="E127" s="131">
        <f t="shared" si="28"/>
        <v>25400.25</v>
      </c>
      <c r="F127" s="138">
        <f t="shared" si="33"/>
        <v>22893.400684931508</v>
      </c>
      <c r="G127" s="132">
        <f t="shared" si="26"/>
        <v>0</v>
      </c>
      <c r="H127" s="132">
        <f t="shared" si="27"/>
        <v>320.50760958904107</v>
      </c>
      <c r="I127" s="9">
        <f t="shared" si="34"/>
        <v>22572.893075342468</v>
      </c>
      <c r="J127" s="66"/>
      <c r="K127" s="11"/>
      <c r="L127" s="11"/>
      <c r="M127" s="6">
        <f t="shared" si="35"/>
        <v>66202</v>
      </c>
      <c r="N127" s="40" t="s">
        <v>204</v>
      </c>
      <c r="O127" s="38">
        <f t="shared" si="36"/>
        <v>0</v>
      </c>
      <c r="P127" s="38">
        <f t="shared" si="29"/>
        <v>2506.8493150684931</v>
      </c>
      <c r="Q127" s="38">
        <f t="shared" si="37"/>
        <v>2506.8493150684931</v>
      </c>
      <c r="R127" s="38">
        <f t="shared" si="38"/>
        <v>2506.8493150684931</v>
      </c>
      <c r="S127" s="38">
        <f t="shared" si="39"/>
        <v>0</v>
      </c>
      <c r="T127" s="38">
        <f t="shared" si="40"/>
        <v>0</v>
      </c>
    </row>
    <row r="128" spans="1:20" ht="20.25" customHeight="1" x14ac:dyDescent="0.3">
      <c r="A128" s="62"/>
      <c r="B128" s="6">
        <f t="shared" si="30"/>
        <v>66567</v>
      </c>
      <c r="C128" s="117" t="str">
        <f t="shared" si="31"/>
        <v/>
      </c>
      <c r="D128" s="131">
        <f t="shared" si="32"/>
        <v>25400.25</v>
      </c>
      <c r="E128" s="131">
        <f t="shared" si="28"/>
        <v>25400.25</v>
      </c>
      <c r="F128" s="138">
        <f t="shared" si="33"/>
        <v>22907.099315068492</v>
      </c>
      <c r="G128" s="132">
        <f t="shared" si="26"/>
        <v>0</v>
      </c>
      <c r="H128" s="132">
        <f t="shared" si="27"/>
        <v>320.69939041095887</v>
      </c>
      <c r="I128" s="9">
        <f t="shared" si="34"/>
        <v>22586.399924657533</v>
      </c>
      <c r="J128" s="66"/>
      <c r="K128" s="11"/>
      <c r="L128" s="11"/>
      <c r="M128" s="6">
        <f t="shared" si="35"/>
        <v>66385</v>
      </c>
      <c r="N128" s="40" t="s">
        <v>205</v>
      </c>
      <c r="O128" s="38">
        <f t="shared" si="36"/>
        <v>0</v>
      </c>
      <c r="P128" s="38">
        <f t="shared" si="29"/>
        <v>2493.1506849315069</v>
      </c>
      <c r="Q128" s="38">
        <f t="shared" si="37"/>
        <v>2493.1506849315069</v>
      </c>
      <c r="R128" s="38">
        <f t="shared" si="38"/>
        <v>2493.1506849315069</v>
      </c>
      <c r="S128" s="38">
        <f t="shared" si="39"/>
        <v>0</v>
      </c>
      <c r="T128" s="38">
        <f t="shared" si="40"/>
        <v>0</v>
      </c>
    </row>
    <row r="129" spans="1:20" ht="20.25" customHeight="1" x14ac:dyDescent="0.3">
      <c r="A129" s="62"/>
      <c r="B129" s="6">
        <f t="shared" si="30"/>
        <v>66750</v>
      </c>
      <c r="C129" s="117" t="str">
        <f t="shared" si="31"/>
        <v/>
      </c>
      <c r="D129" s="131">
        <f t="shared" si="32"/>
        <v>25400.25</v>
      </c>
      <c r="E129" s="131">
        <f t="shared" si="28"/>
        <v>25400.25</v>
      </c>
      <c r="F129" s="138">
        <f t="shared" si="33"/>
        <v>22893.400684931508</v>
      </c>
      <c r="G129" s="132">
        <f t="shared" si="26"/>
        <v>0</v>
      </c>
      <c r="H129" s="132">
        <f t="shared" si="27"/>
        <v>320.50760958904107</v>
      </c>
      <c r="I129" s="9">
        <f t="shared" si="34"/>
        <v>22572.893075342468</v>
      </c>
      <c r="J129" s="66"/>
      <c r="K129" s="11"/>
      <c r="L129" s="11"/>
      <c r="M129" s="6">
        <f t="shared" si="35"/>
        <v>66567</v>
      </c>
      <c r="N129" s="40" t="s">
        <v>206</v>
      </c>
      <c r="O129" s="38">
        <f t="shared" si="36"/>
        <v>0</v>
      </c>
      <c r="P129" s="38">
        <f t="shared" si="29"/>
        <v>2506.8493150684931</v>
      </c>
      <c r="Q129" s="38">
        <f t="shared" si="37"/>
        <v>2506.8493150684931</v>
      </c>
      <c r="R129" s="38">
        <f t="shared" si="38"/>
        <v>2506.8493150684931</v>
      </c>
      <c r="S129" s="38">
        <f t="shared" si="39"/>
        <v>0</v>
      </c>
      <c r="T129" s="38">
        <f t="shared" si="40"/>
        <v>0</v>
      </c>
    </row>
    <row r="130" spans="1:20" ht="20.25" customHeight="1" x14ac:dyDescent="0.3">
      <c r="A130" s="62"/>
      <c r="B130" s="6">
        <f t="shared" si="30"/>
        <v>66932</v>
      </c>
      <c r="C130" s="117" t="str">
        <f t="shared" si="31"/>
        <v/>
      </c>
      <c r="D130" s="131">
        <f t="shared" si="32"/>
        <v>25400.25</v>
      </c>
      <c r="E130" s="131">
        <f t="shared" si="28"/>
        <v>25400.25</v>
      </c>
      <c r="F130" s="138">
        <f t="shared" si="33"/>
        <v>22907.099315068492</v>
      </c>
      <c r="G130" s="132">
        <f t="shared" si="26"/>
        <v>0</v>
      </c>
      <c r="H130" s="132">
        <f t="shared" si="27"/>
        <v>320.69939041095887</v>
      </c>
      <c r="I130" s="9">
        <f t="shared" si="34"/>
        <v>22586.399924657533</v>
      </c>
      <c r="J130" s="66"/>
      <c r="K130" s="11"/>
      <c r="L130" s="11"/>
      <c r="M130" s="6">
        <f t="shared" si="35"/>
        <v>66750</v>
      </c>
      <c r="N130" s="40" t="s">
        <v>207</v>
      </c>
      <c r="O130" s="38">
        <f t="shared" si="36"/>
        <v>0</v>
      </c>
      <c r="P130" s="38">
        <f t="shared" si="29"/>
        <v>2493.1506849315069</v>
      </c>
      <c r="Q130" s="38">
        <f t="shared" si="37"/>
        <v>2493.1506849315069</v>
      </c>
      <c r="R130" s="38">
        <f t="shared" si="38"/>
        <v>2493.1506849315069</v>
      </c>
      <c r="S130" s="38">
        <f t="shared" si="39"/>
        <v>0</v>
      </c>
      <c r="T130" s="38">
        <f t="shared" si="40"/>
        <v>0</v>
      </c>
    </row>
    <row r="131" spans="1:20" ht="20.25" customHeight="1" x14ac:dyDescent="0.3">
      <c r="A131" s="62"/>
      <c r="B131" s="6">
        <f t="shared" si="30"/>
        <v>67115</v>
      </c>
      <c r="C131" s="117" t="str">
        <f t="shared" si="31"/>
        <v/>
      </c>
      <c r="D131" s="131">
        <f t="shared" si="32"/>
        <v>25400.25</v>
      </c>
      <c r="E131" s="131">
        <f t="shared" si="28"/>
        <v>25400.25</v>
      </c>
      <c r="F131" s="138">
        <f t="shared" si="33"/>
        <v>22893.400684931508</v>
      </c>
      <c r="G131" s="132">
        <f t="shared" si="26"/>
        <v>0</v>
      </c>
      <c r="H131" s="132">
        <f t="shared" si="27"/>
        <v>320.50760958904107</v>
      </c>
      <c r="I131" s="9">
        <f t="shared" si="34"/>
        <v>22572.893075342468</v>
      </c>
      <c r="J131" s="66"/>
      <c r="K131" s="11"/>
      <c r="L131" s="11"/>
      <c r="M131" s="6">
        <f t="shared" si="35"/>
        <v>66932</v>
      </c>
      <c r="N131" s="40" t="s">
        <v>208</v>
      </c>
      <c r="O131" s="38">
        <f t="shared" si="36"/>
        <v>0</v>
      </c>
      <c r="P131" s="38">
        <f t="shared" si="29"/>
        <v>2506.8493150684931</v>
      </c>
      <c r="Q131" s="38">
        <f t="shared" si="37"/>
        <v>2506.8493150684931</v>
      </c>
      <c r="R131" s="38">
        <f t="shared" si="38"/>
        <v>2506.8493150684931</v>
      </c>
      <c r="S131" s="38">
        <f t="shared" si="39"/>
        <v>0</v>
      </c>
      <c r="T131" s="38">
        <f t="shared" si="40"/>
        <v>0</v>
      </c>
    </row>
    <row r="132" spans="1:20" ht="20.25" customHeight="1" x14ac:dyDescent="0.3">
      <c r="A132" s="62"/>
      <c r="B132" s="6">
        <f t="shared" si="30"/>
        <v>67298</v>
      </c>
      <c r="C132" s="117" t="str">
        <f t="shared" si="31"/>
        <v/>
      </c>
      <c r="D132" s="131">
        <f t="shared" si="32"/>
        <v>25400.25</v>
      </c>
      <c r="E132" s="131">
        <f t="shared" si="28"/>
        <v>25400.25</v>
      </c>
      <c r="F132" s="138">
        <f t="shared" si="33"/>
        <v>22893.400684931508</v>
      </c>
      <c r="G132" s="132">
        <f t="shared" si="26"/>
        <v>0</v>
      </c>
      <c r="H132" s="132">
        <f t="shared" si="27"/>
        <v>320.50760958904107</v>
      </c>
      <c r="I132" s="9">
        <f t="shared" si="34"/>
        <v>22572.893075342468</v>
      </c>
      <c r="J132" s="66"/>
      <c r="K132" s="11"/>
      <c r="L132" s="11"/>
      <c r="M132" s="6">
        <f t="shared" si="35"/>
        <v>67115</v>
      </c>
      <c r="N132" s="40" t="s">
        <v>209</v>
      </c>
      <c r="O132" s="38">
        <f t="shared" si="36"/>
        <v>0</v>
      </c>
      <c r="P132" s="38">
        <f t="shared" si="29"/>
        <v>2506.8493150684931</v>
      </c>
      <c r="Q132" s="38">
        <f t="shared" si="37"/>
        <v>2506.8493150684931</v>
      </c>
      <c r="R132" s="38">
        <f t="shared" si="38"/>
        <v>2506.8493150684931</v>
      </c>
      <c r="S132" s="38">
        <f t="shared" si="39"/>
        <v>0</v>
      </c>
      <c r="T132" s="38">
        <f t="shared" si="40"/>
        <v>0</v>
      </c>
    </row>
    <row r="133" spans="1:20" ht="20.25" customHeight="1" x14ac:dyDescent="0.3">
      <c r="A133" s="62"/>
      <c r="B133" s="6">
        <f t="shared" si="30"/>
        <v>67481</v>
      </c>
      <c r="C133" s="117" t="str">
        <f t="shared" si="31"/>
        <v/>
      </c>
      <c r="D133" s="131">
        <f t="shared" si="32"/>
        <v>25400.25</v>
      </c>
      <c r="E133" s="131">
        <f t="shared" si="28"/>
        <v>25400.25</v>
      </c>
      <c r="F133" s="138">
        <f t="shared" si="33"/>
        <v>22893.400684931508</v>
      </c>
      <c r="G133" s="132">
        <f t="shared" si="26"/>
        <v>0</v>
      </c>
      <c r="H133" s="132">
        <f t="shared" si="27"/>
        <v>320.50760958904107</v>
      </c>
      <c r="I133" s="9">
        <f t="shared" si="34"/>
        <v>22572.893075342468</v>
      </c>
      <c r="J133" s="66"/>
      <c r="K133" s="11"/>
      <c r="L133" s="11"/>
      <c r="M133" s="6">
        <f t="shared" si="35"/>
        <v>67298</v>
      </c>
      <c r="N133" s="40" t="s">
        <v>210</v>
      </c>
      <c r="O133" s="38">
        <f t="shared" si="36"/>
        <v>0</v>
      </c>
      <c r="P133" s="38">
        <f t="shared" si="29"/>
        <v>2506.8493150684931</v>
      </c>
      <c r="Q133" s="38">
        <f t="shared" si="37"/>
        <v>2506.8493150684931</v>
      </c>
      <c r="R133" s="38">
        <f t="shared" si="38"/>
        <v>2506.8493150684931</v>
      </c>
      <c r="S133" s="38">
        <f t="shared" si="39"/>
        <v>0</v>
      </c>
      <c r="T133" s="38">
        <f t="shared" si="40"/>
        <v>0</v>
      </c>
    </row>
    <row r="134" spans="1:20" ht="20.25" customHeight="1" x14ac:dyDescent="0.3">
      <c r="A134" s="62"/>
      <c r="B134" s="6">
        <f t="shared" si="30"/>
        <v>67663</v>
      </c>
      <c r="C134" s="117" t="str">
        <f t="shared" si="31"/>
        <v/>
      </c>
      <c r="D134" s="131">
        <f t="shared" si="32"/>
        <v>25400.25</v>
      </c>
      <c r="E134" s="131">
        <f t="shared" si="28"/>
        <v>25400.25</v>
      </c>
      <c r="F134" s="138">
        <f t="shared" si="33"/>
        <v>22907.099315068492</v>
      </c>
      <c r="G134" s="132">
        <f t="shared" si="26"/>
        <v>0</v>
      </c>
      <c r="H134" s="132">
        <f t="shared" si="27"/>
        <v>320.69939041095887</v>
      </c>
      <c r="I134" s="9">
        <f t="shared" si="34"/>
        <v>22586.399924657533</v>
      </c>
      <c r="J134" s="66"/>
      <c r="K134" s="11"/>
      <c r="L134" s="11"/>
      <c r="M134" s="6">
        <f t="shared" si="35"/>
        <v>67481</v>
      </c>
      <c r="N134" s="40" t="s">
        <v>211</v>
      </c>
      <c r="O134" s="38">
        <f t="shared" si="36"/>
        <v>0</v>
      </c>
      <c r="P134" s="38">
        <f t="shared" si="29"/>
        <v>2493.1506849315069</v>
      </c>
      <c r="Q134" s="38">
        <f t="shared" si="37"/>
        <v>2493.1506849315069</v>
      </c>
      <c r="R134" s="38">
        <f t="shared" si="38"/>
        <v>2493.1506849315069</v>
      </c>
      <c r="S134" s="38">
        <f t="shared" si="39"/>
        <v>0</v>
      </c>
      <c r="T134" s="38">
        <f t="shared" si="40"/>
        <v>0</v>
      </c>
    </row>
    <row r="135" spans="1:20" ht="20.25" customHeight="1" x14ac:dyDescent="0.3">
      <c r="A135" s="62"/>
      <c r="B135" s="6">
        <f t="shared" si="30"/>
        <v>67846</v>
      </c>
      <c r="C135" s="117" t="str">
        <f t="shared" si="31"/>
        <v/>
      </c>
      <c r="D135" s="131">
        <f t="shared" si="32"/>
        <v>25400.25</v>
      </c>
      <c r="E135" s="131">
        <f t="shared" si="28"/>
        <v>25400.25</v>
      </c>
      <c r="F135" s="138">
        <f t="shared" si="33"/>
        <v>22893.400684931508</v>
      </c>
      <c r="G135" s="132">
        <f t="shared" si="26"/>
        <v>0</v>
      </c>
      <c r="H135" s="132">
        <f t="shared" si="27"/>
        <v>320.50760958904107</v>
      </c>
      <c r="I135" s="9">
        <f t="shared" si="34"/>
        <v>22572.893075342468</v>
      </c>
      <c r="J135" s="66"/>
      <c r="K135" s="11"/>
      <c r="L135" s="11"/>
      <c r="M135" s="6">
        <f t="shared" si="35"/>
        <v>67663</v>
      </c>
      <c r="N135" s="40" t="s">
        <v>212</v>
      </c>
      <c r="O135" s="38">
        <f t="shared" si="36"/>
        <v>0</v>
      </c>
      <c r="P135" s="38">
        <f t="shared" si="29"/>
        <v>2506.8493150684931</v>
      </c>
      <c r="Q135" s="38">
        <f t="shared" si="37"/>
        <v>2506.8493150684931</v>
      </c>
      <c r="R135" s="38">
        <f t="shared" si="38"/>
        <v>2506.8493150684931</v>
      </c>
      <c r="S135" s="38">
        <f t="shared" si="39"/>
        <v>0</v>
      </c>
      <c r="T135" s="38">
        <f t="shared" si="40"/>
        <v>0</v>
      </c>
    </row>
    <row r="136" spans="1:20" ht="20.25" customHeight="1" x14ac:dyDescent="0.3">
      <c r="A136" s="62"/>
      <c r="B136" s="6">
        <f t="shared" si="30"/>
        <v>68028</v>
      </c>
      <c r="C136" s="117" t="str">
        <f t="shared" si="31"/>
        <v/>
      </c>
      <c r="D136" s="131">
        <f t="shared" si="32"/>
        <v>25400.25</v>
      </c>
      <c r="E136" s="131">
        <f t="shared" si="28"/>
        <v>25400.25</v>
      </c>
      <c r="F136" s="138">
        <f t="shared" si="33"/>
        <v>22907.099315068492</v>
      </c>
      <c r="G136" s="132">
        <f t="shared" si="26"/>
        <v>0</v>
      </c>
      <c r="H136" s="132">
        <f t="shared" si="27"/>
        <v>320.69939041095887</v>
      </c>
      <c r="I136" s="9">
        <f t="shared" si="34"/>
        <v>22586.399924657533</v>
      </c>
      <c r="J136" s="66"/>
      <c r="K136" s="11"/>
      <c r="L136" s="11"/>
      <c r="M136" s="6">
        <f t="shared" si="35"/>
        <v>67846</v>
      </c>
      <c r="N136" s="40" t="s">
        <v>213</v>
      </c>
      <c r="O136" s="38">
        <f t="shared" si="36"/>
        <v>0</v>
      </c>
      <c r="P136" s="38">
        <f t="shared" si="29"/>
        <v>2493.1506849315069</v>
      </c>
      <c r="Q136" s="38">
        <f t="shared" si="37"/>
        <v>2493.1506849315069</v>
      </c>
      <c r="R136" s="38">
        <f t="shared" si="38"/>
        <v>2493.1506849315069</v>
      </c>
      <c r="S136" s="38">
        <f t="shared" si="39"/>
        <v>0</v>
      </c>
      <c r="T136" s="38">
        <f t="shared" si="40"/>
        <v>0</v>
      </c>
    </row>
    <row r="137" spans="1:20" ht="20.25" customHeight="1" x14ac:dyDescent="0.3">
      <c r="A137" s="62"/>
      <c r="B137" s="6">
        <f t="shared" si="30"/>
        <v>68211</v>
      </c>
      <c r="C137" s="117" t="str">
        <f t="shared" si="31"/>
        <v/>
      </c>
      <c r="D137" s="131">
        <f t="shared" si="32"/>
        <v>25400.25</v>
      </c>
      <c r="E137" s="131">
        <f t="shared" si="28"/>
        <v>25400.25</v>
      </c>
      <c r="F137" s="138">
        <f t="shared" si="33"/>
        <v>22893.400684931508</v>
      </c>
      <c r="G137" s="132">
        <f t="shared" si="26"/>
        <v>0</v>
      </c>
      <c r="H137" s="132">
        <f t="shared" si="27"/>
        <v>320.50760958904107</v>
      </c>
      <c r="I137" s="9">
        <f t="shared" si="34"/>
        <v>22572.893075342468</v>
      </c>
      <c r="J137" s="66"/>
      <c r="K137" s="11"/>
      <c r="L137" s="11"/>
      <c r="M137" s="6">
        <f t="shared" si="35"/>
        <v>68028</v>
      </c>
      <c r="N137" s="40" t="s">
        <v>214</v>
      </c>
      <c r="O137" s="38">
        <f t="shared" si="36"/>
        <v>0</v>
      </c>
      <c r="P137" s="38">
        <f t="shared" si="29"/>
        <v>2506.8493150684931</v>
      </c>
      <c r="Q137" s="38">
        <f t="shared" si="37"/>
        <v>2506.8493150684931</v>
      </c>
      <c r="R137" s="38">
        <f t="shared" si="38"/>
        <v>2506.8493150684931</v>
      </c>
      <c r="S137" s="38">
        <f t="shared" si="39"/>
        <v>0</v>
      </c>
      <c r="T137" s="38">
        <f t="shared" si="40"/>
        <v>0</v>
      </c>
    </row>
    <row r="138" spans="1:20" ht="20.25" customHeight="1" x14ac:dyDescent="0.3">
      <c r="A138" s="62"/>
      <c r="B138" s="6">
        <f t="shared" si="30"/>
        <v>68393</v>
      </c>
      <c r="C138" s="117" t="str">
        <f t="shared" si="31"/>
        <v/>
      </c>
      <c r="D138" s="131">
        <f t="shared" si="32"/>
        <v>25400.25</v>
      </c>
      <c r="E138" s="131">
        <f t="shared" si="28"/>
        <v>25400.25</v>
      </c>
      <c r="F138" s="138">
        <f t="shared" si="33"/>
        <v>22907.099315068492</v>
      </c>
      <c r="G138" s="132">
        <f t="shared" si="26"/>
        <v>0</v>
      </c>
      <c r="H138" s="132">
        <f t="shared" si="27"/>
        <v>320.69939041095887</v>
      </c>
      <c r="I138" s="9">
        <f t="shared" si="34"/>
        <v>22586.399924657533</v>
      </c>
      <c r="J138" s="66"/>
      <c r="K138" s="11"/>
      <c r="L138" s="11"/>
      <c r="M138" s="6">
        <f t="shared" si="35"/>
        <v>68211</v>
      </c>
      <c r="N138" s="40" t="s">
        <v>215</v>
      </c>
      <c r="O138" s="38">
        <f t="shared" si="36"/>
        <v>0</v>
      </c>
      <c r="P138" s="38">
        <f t="shared" si="29"/>
        <v>2493.1506849315069</v>
      </c>
      <c r="Q138" s="38">
        <f t="shared" si="37"/>
        <v>2493.1506849315069</v>
      </c>
      <c r="R138" s="38">
        <f t="shared" si="38"/>
        <v>2493.1506849315069</v>
      </c>
      <c r="S138" s="38">
        <f t="shared" si="39"/>
        <v>0</v>
      </c>
      <c r="T138" s="38">
        <f t="shared" si="40"/>
        <v>0</v>
      </c>
    </row>
    <row r="139" spans="1:20" ht="20.25" customHeight="1" x14ac:dyDescent="0.3">
      <c r="A139" s="62"/>
      <c r="B139" s="6">
        <f t="shared" si="30"/>
        <v>68576</v>
      </c>
      <c r="C139" s="117" t="str">
        <f t="shared" si="31"/>
        <v/>
      </c>
      <c r="D139" s="131">
        <f t="shared" si="32"/>
        <v>25400.25</v>
      </c>
      <c r="E139" s="131">
        <f t="shared" si="28"/>
        <v>25400.25</v>
      </c>
      <c r="F139" s="138">
        <f t="shared" si="33"/>
        <v>22893.400684931508</v>
      </c>
      <c r="G139" s="132">
        <f t="shared" si="26"/>
        <v>0</v>
      </c>
      <c r="H139" s="132">
        <f t="shared" si="27"/>
        <v>320.50760958904107</v>
      </c>
      <c r="I139" s="9">
        <f t="shared" si="34"/>
        <v>22572.893075342468</v>
      </c>
      <c r="J139" s="66"/>
      <c r="K139" s="11"/>
      <c r="L139" s="11"/>
      <c r="M139" s="6">
        <f t="shared" si="35"/>
        <v>68393</v>
      </c>
      <c r="N139" s="40" t="s">
        <v>216</v>
      </c>
      <c r="O139" s="38">
        <f t="shared" si="36"/>
        <v>0</v>
      </c>
      <c r="P139" s="38">
        <f t="shared" si="29"/>
        <v>2506.8493150684931</v>
      </c>
      <c r="Q139" s="38">
        <f t="shared" si="37"/>
        <v>2506.8493150684931</v>
      </c>
      <c r="R139" s="38">
        <f t="shared" si="38"/>
        <v>2506.8493150684931</v>
      </c>
      <c r="S139" s="38">
        <f t="shared" si="39"/>
        <v>0</v>
      </c>
      <c r="T139" s="38">
        <f t="shared" si="40"/>
        <v>0</v>
      </c>
    </row>
    <row r="140" spans="1:20" ht="20.25" customHeight="1" x14ac:dyDescent="0.3">
      <c r="A140" s="62"/>
      <c r="B140" s="6">
        <f t="shared" si="30"/>
        <v>68759</v>
      </c>
      <c r="C140" s="117" t="str">
        <f t="shared" si="31"/>
        <v/>
      </c>
      <c r="D140" s="131">
        <f t="shared" si="32"/>
        <v>25400.25</v>
      </c>
      <c r="E140" s="131">
        <f t="shared" si="28"/>
        <v>25400.25</v>
      </c>
      <c r="F140" s="138">
        <f t="shared" si="33"/>
        <v>22893.400684931508</v>
      </c>
      <c r="G140" s="132">
        <f t="shared" si="26"/>
        <v>0</v>
      </c>
      <c r="H140" s="132">
        <f t="shared" si="27"/>
        <v>320.50760958904107</v>
      </c>
      <c r="I140" s="9">
        <f t="shared" si="34"/>
        <v>22572.893075342468</v>
      </c>
      <c r="J140" s="66"/>
      <c r="K140" s="11"/>
      <c r="L140" s="11"/>
      <c r="M140" s="6">
        <f t="shared" si="35"/>
        <v>68576</v>
      </c>
      <c r="N140" s="40" t="s">
        <v>217</v>
      </c>
      <c r="O140" s="38">
        <f t="shared" si="36"/>
        <v>0</v>
      </c>
      <c r="P140" s="38">
        <f t="shared" si="29"/>
        <v>2506.8493150684931</v>
      </c>
      <c r="Q140" s="38">
        <f t="shared" si="37"/>
        <v>2506.8493150684931</v>
      </c>
      <c r="R140" s="38">
        <f t="shared" si="38"/>
        <v>2506.8493150684931</v>
      </c>
      <c r="S140" s="38">
        <f t="shared" si="39"/>
        <v>0</v>
      </c>
      <c r="T140" s="38">
        <f t="shared" si="40"/>
        <v>0</v>
      </c>
    </row>
    <row r="141" spans="1:20" ht="20.25" customHeight="1" x14ac:dyDescent="0.3">
      <c r="A141" s="62"/>
      <c r="B141" s="6">
        <f t="shared" si="30"/>
        <v>68942</v>
      </c>
      <c r="C141" s="117" t="str">
        <f t="shared" si="31"/>
        <v/>
      </c>
      <c r="D141" s="131">
        <f t="shared" si="32"/>
        <v>25400.25</v>
      </c>
      <c r="E141" s="131">
        <f t="shared" si="28"/>
        <v>25400.25</v>
      </c>
      <c r="F141" s="138">
        <f t="shared" si="33"/>
        <v>22893.400684931508</v>
      </c>
      <c r="G141" s="132">
        <f t="shared" si="26"/>
        <v>0</v>
      </c>
      <c r="H141" s="132">
        <f t="shared" si="27"/>
        <v>320.50760958904107</v>
      </c>
      <c r="I141" s="9">
        <f t="shared" si="34"/>
        <v>22572.893075342468</v>
      </c>
      <c r="J141" s="66"/>
      <c r="K141" s="11"/>
      <c r="L141" s="11"/>
      <c r="M141" s="6">
        <f t="shared" si="35"/>
        <v>68759</v>
      </c>
      <c r="N141" s="40" t="s">
        <v>218</v>
      </c>
      <c r="O141" s="38">
        <f t="shared" si="36"/>
        <v>0</v>
      </c>
      <c r="P141" s="38">
        <f t="shared" si="29"/>
        <v>2506.8493150684931</v>
      </c>
      <c r="Q141" s="38">
        <f t="shared" si="37"/>
        <v>2506.8493150684931</v>
      </c>
      <c r="R141" s="38">
        <f t="shared" si="38"/>
        <v>2506.8493150684931</v>
      </c>
      <c r="S141" s="38">
        <f t="shared" si="39"/>
        <v>0</v>
      </c>
      <c r="T141" s="38">
        <f t="shared" si="40"/>
        <v>0</v>
      </c>
    </row>
    <row r="142" spans="1:20" ht="20.25" customHeight="1" x14ac:dyDescent="0.3">
      <c r="A142" s="62"/>
      <c r="B142" s="6">
        <f t="shared" si="30"/>
        <v>69124</v>
      </c>
      <c r="C142" s="117" t="str">
        <f t="shared" si="31"/>
        <v/>
      </c>
      <c r="D142" s="131">
        <f t="shared" si="32"/>
        <v>25400.25</v>
      </c>
      <c r="E142" s="131">
        <f t="shared" si="28"/>
        <v>25400.25</v>
      </c>
      <c r="F142" s="138">
        <f t="shared" si="33"/>
        <v>22907.099315068492</v>
      </c>
      <c r="G142" s="132">
        <f t="shared" si="26"/>
        <v>0</v>
      </c>
      <c r="H142" s="132">
        <f t="shared" si="27"/>
        <v>320.69939041095887</v>
      </c>
      <c r="I142" s="9">
        <f t="shared" si="34"/>
        <v>22586.399924657533</v>
      </c>
      <c r="J142" s="66"/>
      <c r="K142" s="11"/>
      <c r="L142" s="11"/>
      <c r="M142" s="6">
        <f t="shared" si="35"/>
        <v>68942</v>
      </c>
      <c r="N142" s="40" t="s">
        <v>219</v>
      </c>
      <c r="O142" s="38">
        <f t="shared" si="36"/>
        <v>0</v>
      </c>
      <c r="P142" s="38">
        <f t="shared" si="29"/>
        <v>2493.1506849315069</v>
      </c>
      <c r="Q142" s="38">
        <f t="shared" si="37"/>
        <v>2493.1506849315069</v>
      </c>
      <c r="R142" s="38">
        <f t="shared" si="38"/>
        <v>2493.1506849315069</v>
      </c>
      <c r="S142" s="38">
        <f t="shared" si="39"/>
        <v>0</v>
      </c>
      <c r="T142" s="38">
        <f t="shared" si="40"/>
        <v>0</v>
      </c>
    </row>
    <row r="143" spans="1:20" ht="20.25" customHeight="1" x14ac:dyDescent="0.3">
      <c r="A143" s="62"/>
      <c r="B143" s="6">
        <f t="shared" si="30"/>
        <v>69307</v>
      </c>
      <c r="C143" s="117" t="str">
        <f t="shared" si="31"/>
        <v/>
      </c>
      <c r="D143" s="131">
        <f t="shared" si="32"/>
        <v>25400.25</v>
      </c>
      <c r="E143" s="131">
        <f t="shared" si="28"/>
        <v>25400.25</v>
      </c>
      <c r="F143" s="138">
        <f t="shared" si="33"/>
        <v>22893.400684931508</v>
      </c>
      <c r="G143" s="132">
        <f t="shared" si="26"/>
        <v>0</v>
      </c>
      <c r="H143" s="132">
        <f t="shared" si="27"/>
        <v>320.50760958904107</v>
      </c>
      <c r="I143" s="9">
        <f t="shared" si="34"/>
        <v>22572.893075342468</v>
      </c>
      <c r="J143" s="66"/>
      <c r="K143" s="11"/>
      <c r="L143" s="11"/>
      <c r="M143" s="6">
        <f t="shared" si="35"/>
        <v>69124</v>
      </c>
      <c r="N143" s="40" t="s">
        <v>220</v>
      </c>
      <c r="O143" s="38">
        <f t="shared" si="36"/>
        <v>0</v>
      </c>
      <c r="P143" s="38">
        <f t="shared" si="29"/>
        <v>2506.8493150684931</v>
      </c>
      <c r="Q143" s="38">
        <f t="shared" si="37"/>
        <v>2506.8493150684931</v>
      </c>
      <c r="R143" s="38">
        <f t="shared" si="38"/>
        <v>2506.8493150684931</v>
      </c>
      <c r="S143" s="38">
        <f t="shared" si="39"/>
        <v>0</v>
      </c>
      <c r="T143" s="38">
        <f t="shared" si="40"/>
        <v>0</v>
      </c>
    </row>
    <row r="144" spans="1:20" ht="20.25" customHeight="1" x14ac:dyDescent="0.3">
      <c r="A144" s="62"/>
      <c r="B144" s="6">
        <f t="shared" si="30"/>
        <v>69489</v>
      </c>
      <c r="C144" s="117" t="str">
        <f t="shared" si="31"/>
        <v/>
      </c>
      <c r="D144" s="131">
        <f t="shared" si="32"/>
        <v>25400.25</v>
      </c>
      <c r="E144" s="131">
        <f t="shared" si="28"/>
        <v>25400.25</v>
      </c>
      <c r="F144" s="138">
        <f t="shared" si="33"/>
        <v>22907.099315068492</v>
      </c>
      <c r="G144" s="132">
        <f t="shared" si="26"/>
        <v>0</v>
      </c>
      <c r="H144" s="132">
        <f t="shared" si="27"/>
        <v>320.69939041095887</v>
      </c>
      <c r="I144" s="9">
        <f t="shared" si="34"/>
        <v>22586.399924657533</v>
      </c>
      <c r="J144" s="66"/>
      <c r="K144" s="11"/>
      <c r="L144" s="11"/>
      <c r="M144" s="6">
        <f t="shared" si="35"/>
        <v>69307</v>
      </c>
      <c r="N144" s="40" t="s">
        <v>221</v>
      </c>
      <c r="O144" s="38">
        <f t="shared" si="36"/>
        <v>0</v>
      </c>
      <c r="P144" s="38">
        <f t="shared" si="29"/>
        <v>2493.1506849315069</v>
      </c>
      <c r="Q144" s="38">
        <f t="shared" si="37"/>
        <v>2493.1506849315069</v>
      </c>
      <c r="R144" s="38">
        <f t="shared" si="38"/>
        <v>2493.1506849315069</v>
      </c>
      <c r="S144" s="38">
        <f t="shared" si="39"/>
        <v>0</v>
      </c>
      <c r="T144" s="38">
        <f t="shared" si="40"/>
        <v>0</v>
      </c>
    </row>
    <row r="145" spans="1:20" ht="20.25" customHeight="1" x14ac:dyDescent="0.3">
      <c r="A145" s="62"/>
      <c r="B145" s="6">
        <f t="shared" si="30"/>
        <v>69672</v>
      </c>
      <c r="C145" s="117" t="str">
        <f t="shared" si="31"/>
        <v/>
      </c>
      <c r="D145" s="131">
        <f t="shared" si="32"/>
        <v>25400.25</v>
      </c>
      <c r="E145" s="131">
        <f t="shared" si="28"/>
        <v>25400.25</v>
      </c>
      <c r="F145" s="138">
        <f t="shared" si="33"/>
        <v>22893.400684931508</v>
      </c>
      <c r="G145" s="132">
        <f t="shared" si="26"/>
        <v>0</v>
      </c>
      <c r="H145" s="132">
        <f t="shared" si="27"/>
        <v>320.50760958904107</v>
      </c>
      <c r="I145" s="9">
        <f t="shared" si="34"/>
        <v>22572.893075342468</v>
      </c>
      <c r="J145" s="66"/>
      <c r="K145" s="11"/>
      <c r="L145" s="11"/>
      <c r="M145" s="6">
        <f t="shared" si="35"/>
        <v>69489</v>
      </c>
      <c r="N145" s="40" t="s">
        <v>222</v>
      </c>
      <c r="O145" s="38">
        <f t="shared" si="36"/>
        <v>0</v>
      </c>
      <c r="P145" s="38">
        <f t="shared" si="29"/>
        <v>2506.8493150684931</v>
      </c>
      <c r="Q145" s="38">
        <f t="shared" si="37"/>
        <v>2506.8493150684931</v>
      </c>
      <c r="R145" s="38">
        <f t="shared" si="38"/>
        <v>2506.8493150684931</v>
      </c>
      <c r="S145" s="38">
        <f t="shared" si="39"/>
        <v>0</v>
      </c>
      <c r="T145" s="38">
        <f t="shared" si="40"/>
        <v>0</v>
      </c>
    </row>
    <row r="146" spans="1:20" ht="20.25" customHeight="1" x14ac:dyDescent="0.3">
      <c r="A146" s="62"/>
      <c r="B146" s="6">
        <f t="shared" si="30"/>
        <v>69854</v>
      </c>
      <c r="C146" s="117" t="str">
        <f t="shared" si="31"/>
        <v/>
      </c>
      <c r="D146" s="131">
        <f t="shared" si="32"/>
        <v>25400.25</v>
      </c>
      <c r="E146" s="131">
        <f t="shared" si="28"/>
        <v>25400.25</v>
      </c>
      <c r="F146" s="138">
        <f t="shared" si="33"/>
        <v>22907.099315068492</v>
      </c>
      <c r="G146" s="132">
        <f t="shared" si="26"/>
        <v>0</v>
      </c>
      <c r="H146" s="132">
        <f t="shared" si="27"/>
        <v>320.69939041095887</v>
      </c>
      <c r="I146" s="9">
        <f t="shared" si="34"/>
        <v>22586.399924657533</v>
      </c>
      <c r="J146" s="66"/>
      <c r="K146" s="11"/>
      <c r="L146" s="11"/>
      <c r="M146" s="6">
        <f t="shared" si="35"/>
        <v>69672</v>
      </c>
      <c r="N146" s="40" t="s">
        <v>223</v>
      </c>
      <c r="O146" s="38">
        <f t="shared" si="36"/>
        <v>0</v>
      </c>
      <c r="P146" s="38">
        <f t="shared" si="29"/>
        <v>2493.1506849315069</v>
      </c>
      <c r="Q146" s="38">
        <f t="shared" si="37"/>
        <v>2493.1506849315069</v>
      </c>
      <c r="R146" s="38">
        <f t="shared" si="38"/>
        <v>2493.1506849315069</v>
      </c>
      <c r="S146" s="38">
        <f t="shared" si="39"/>
        <v>0</v>
      </c>
      <c r="T146" s="38">
        <f t="shared" si="40"/>
        <v>0</v>
      </c>
    </row>
    <row r="147" spans="1:20" ht="20.25" customHeight="1" x14ac:dyDescent="0.3">
      <c r="A147" s="62"/>
      <c r="B147" s="6">
        <f t="shared" si="30"/>
        <v>70037</v>
      </c>
      <c r="C147" s="117" t="str">
        <f t="shared" si="31"/>
        <v/>
      </c>
      <c r="D147" s="131">
        <f t="shared" si="32"/>
        <v>25400.25</v>
      </c>
      <c r="E147" s="131">
        <f t="shared" si="28"/>
        <v>25400.25</v>
      </c>
      <c r="F147" s="138">
        <f t="shared" si="33"/>
        <v>22893.400684931508</v>
      </c>
      <c r="G147" s="132">
        <f t="shared" si="26"/>
        <v>0</v>
      </c>
      <c r="H147" s="132">
        <f t="shared" si="27"/>
        <v>320.50760958904107</v>
      </c>
      <c r="I147" s="9">
        <f t="shared" si="34"/>
        <v>22572.893075342468</v>
      </c>
      <c r="J147" s="66"/>
      <c r="K147" s="11"/>
      <c r="L147" s="11"/>
      <c r="M147" s="6">
        <f t="shared" si="35"/>
        <v>69854</v>
      </c>
      <c r="N147" s="40" t="s">
        <v>224</v>
      </c>
      <c r="O147" s="38">
        <f t="shared" si="36"/>
        <v>0</v>
      </c>
      <c r="P147" s="38">
        <f t="shared" si="29"/>
        <v>2506.8493150684931</v>
      </c>
      <c r="Q147" s="38">
        <f t="shared" si="37"/>
        <v>2506.8493150684931</v>
      </c>
      <c r="R147" s="38">
        <f t="shared" si="38"/>
        <v>2506.8493150684931</v>
      </c>
      <c r="S147" s="38">
        <f t="shared" si="39"/>
        <v>0</v>
      </c>
      <c r="T147" s="38">
        <f t="shared" si="40"/>
        <v>0</v>
      </c>
    </row>
    <row r="148" spans="1:20" ht="20.25" customHeight="1" x14ac:dyDescent="0.3">
      <c r="A148" s="62"/>
      <c r="B148" s="6">
        <f t="shared" si="30"/>
        <v>70220</v>
      </c>
      <c r="C148" s="117" t="str">
        <f t="shared" si="31"/>
        <v/>
      </c>
      <c r="D148" s="131">
        <f t="shared" si="32"/>
        <v>25400.25</v>
      </c>
      <c r="E148" s="131">
        <f t="shared" si="28"/>
        <v>25400.25</v>
      </c>
      <c r="F148" s="138">
        <f t="shared" si="33"/>
        <v>22893.400684931508</v>
      </c>
      <c r="G148" s="132">
        <f t="shared" ref="G148:G160" si="41">ROUNDDOWN(F148*0%,-1)</f>
        <v>0</v>
      </c>
      <c r="H148" s="132">
        <f t="shared" ref="H148:H160" si="42">IF($E$4="개인",F148*1.4%,F148*2.8%)</f>
        <v>320.50760958904107</v>
      </c>
      <c r="I148" s="9">
        <f t="shared" si="34"/>
        <v>22572.893075342468</v>
      </c>
      <c r="J148" s="66"/>
      <c r="K148" s="11"/>
      <c r="L148" s="11"/>
      <c r="M148" s="6">
        <f t="shared" si="35"/>
        <v>70037</v>
      </c>
      <c r="N148" s="40" t="s">
        <v>225</v>
      </c>
      <c r="O148" s="38">
        <f t="shared" si="36"/>
        <v>0</v>
      </c>
      <c r="P148" s="38">
        <f t="shared" si="29"/>
        <v>2506.8493150684931</v>
      </c>
      <c r="Q148" s="38">
        <f t="shared" si="37"/>
        <v>2506.8493150684931</v>
      </c>
      <c r="R148" s="38">
        <f t="shared" si="38"/>
        <v>2506.8493150684931</v>
      </c>
      <c r="S148" s="38">
        <f t="shared" si="39"/>
        <v>0</v>
      </c>
      <c r="T148" s="38">
        <f t="shared" si="40"/>
        <v>0</v>
      </c>
    </row>
    <row r="149" spans="1:20" ht="20.25" customHeight="1" x14ac:dyDescent="0.3">
      <c r="A149" s="62"/>
      <c r="B149" s="6">
        <f t="shared" si="30"/>
        <v>70403</v>
      </c>
      <c r="C149" s="117" t="str">
        <f t="shared" si="31"/>
        <v/>
      </c>
      <c r="D149" s="131">
        <f t="shared" si="32"/>
        <v>25400.25</v>
      </c>
      <c r="E149" s="131">
        <f t="shared" ref="E149:E161" si="43">IF(B149="","",D149)</f>
        <v>25400.25</v>
      </c>
      <c r="F149" s="138">
        <f t="shared" si="33"/>
        <v>22893.400684931508</v>
      </c>
      <c r="G149" s="132">
        <f t="shared" si="41"/>
        <v>0</v>
      </c>
      <c r="H149" s="132">
        <f t="shared" si="42"/>
        <v>320.50760958904107</v>
      </c>
      <c r="I149" s="9">
        <f t="shared" si="34"/>
        <v>22572.893075342468</v>
      </c>
      <c r="J149" s="66"/>
      <c r="K149" s="11"/>
      <c r="L149" s="11"/>
      <c r="M149" s="6">
        <f t="shared" si="35"/>
        <v>70220</v>
      </c>
      <c r="N149" s="40" t="s">
        <v>226</v>
      </c>
      <c r="O149" s="38">
        <f t="shared" si="36"/>
        <v>0</v>
      </c>
      <c r="P149" s="38">
        <f t="shared" ref="P149:P161" si="44">$I$7*$G$8/365*(_xlfn.DAYS(B149,M149))</f>
        <v>2506.8493150684931</v>
      </c>
      <c r="Q149" s="38">
        <f t="shared" si="37"/>
        <v>2506.8493150684931</v>
      </c>
      <c r="R149" s="38">
        <f t="shared" si="38"/>
        <v>2506.8493150684931</v>
      </c>
      <c r="S149" s="38">
        <f t="shared" si="39"/>
        <v>0</v>
      </c>
      <c r="T149" s="38">
        <f t="shared" si="40"/>
        <v>0</v>
      </c>
    </row>
    <row r="150" spans="1:20" ht="20.25" customHeight="1" x14ac:dyDescent="0.3">
      <c r="A150" s="62"/>
      <c r="B150" s="6">
        <f t="shared" si="30"/>
        <v>70585</v>
      </c>
      <c r="C150" s="117" t="str">
        <f t="shared" si="31"/>
        <v/>
      </c>
      <c r="D150" s="131">
        <f t="shared" si="32"/>
        <v>25400.25</v>
      </c>
      <c r="E150" s="131">
        <f t="shared" si="43"/>
        <v>25400.25</v>
      </c>
      <c r="F150" s="138">
        <f t="shared" si="33"/>
        <v>22907.099315068492</v>
      </c>
      <c r="G150" s="132">
        <f t="shared" si="41"/>
        <v>0</v>
      </c>
      <c r="H150" s="132">
        <f t="shared" si="42"/>
        <v>320.69939041095887</v>
      </c>
      <c r="I150" s="9">
        <f t="shared" si="34"/>
        <v>22586.399924657533</v>
      </c>
      <c r="J150" s="66"/>
      <c r="K150" s="11"/>
      <c r="L150" s="11"/>
      <c r="M150" s="6">
        <f t="shared" si="35"/>
        <v>70403</v>
      </c>
      <c r="N150" s="40" t="s">
        <v>227</v>
      </c>
      <c r="O150" s="38">
        <f t="shared" si="36"/>
        <v>0</v>
      </c>
      <c r="P150" s="38">
        <f t="shared" si="44"/>
        <v>2493.1506849315069</v>
      </c>
      <c r="Q150" s="38">
        <f t="shared" si="37"/>
        <v>2493.1506849315069</v>
      </c>
      <c r="R150" s="38">
        <f t="shared" si="38"/>
        <v>2493.1506849315069</v>
      </c>
      <c r="S150" s="38">
        <f t="shared" si="39"/>
        <v>0</v>
      </c>
      <c r="T150" s="38">
        <f t="shared" si="40"/>
        <v>0</v>
      </c>
    </row>
    <row r="151" spans="1:20" ht="20.25" customHeight="1" x14ac:dyDescent="0.3">
      <c r="A151" s="62"/>
      <c r="B151" s="6">
        <f t="shared" si="30"/>
        <v>70768</v>
      </c>
      <c r="C151" s="117" t="str">
        <f t="shared" si="31"/>
        <v/>
      </c>
      <c r="D151" s="131">
        <f t="shared" si="32"/>
        <v>25400.25</v>
      </c>
      <c r="E151" s="131">
        <f t="shared" si="43"/>
        <v>25400.25</v>
      </c>
      <c r="F151" s="138">
        <f t="shared" si="33"/>
        <v>22893.400684931508</v>
      </c>
      <c r="G151" s="132">
        <f t="shared" si="41"/>
        <v>0</v>
      </c>
      <c r="H151" s="132">
        <f t="shared" si="42"/>
        <v>320.50760958904107</v>
      </c>
      <c r="I151" s="9">
        <f t="shared" si="34"/>
        <v>22572.893075342468</v>
      </c>
      <c r="J151" s="66"/>
      <c r="K151" s="11"/>
      <c r="L151" s="11"/>
      <c r="M151" s="6">
        <f t="shared" si="35"/>
        <v>70585</v>
      </c>
      <c r="N151" s="40" t="s">
        <v>228</v>
      </c>
      <c r="O151" s="38">
        <f t="shared" si="36"/>
        <v>0</v>
      </c>
      <c r="P151" s="38">
        <f t="shared" si="44"/>
        <v>2506.8493150684931</v>
      </c>
      <c r="Q151" s="38">
        <f t="shared" si="37"/>
        <v>2506.8493150684931</v>
      </c>
      <c r="R151" s="38">
        <f t="shared" si="38"/>
        <v>2506.8493150684931</v>
      </c>
      <c r="S151" s="38">
        <f t="shared" si="39"/>
        <v>0</v>
      </c>
      <c r="T151" s="38">
        <f t="shared" si="40"/>
        <v>0</v>
      </c>
    </row>
    <row r="152" spans="1:20" ht="20.25" customHeight="1" x14ac:dyDescent="0.3">
      <c r="A152" s="62"/>
      <c r="B152" s="6">
        <f t="shared" si="30"/>
        <v>70950</v>
      </c>
      <c r="C152" s="117" t="str">
        <f t="shared" si="31"/>
        <v/>
      </c>
      <c r="D152" s="131">
        <f t="shared" si="32"/>
        <v>25400.25</v>
      </c>
      <c r="E152" s="131">
        <f t="shared" si="43"/>
        <v>25400.25</v>
      </c>
      <c r="F152" s="138">
        <f t="shared" si="33"/>
        <v>22907.099315068492</v>
      </c>
      <c r="G152" s="132">
        <f t="shared" si="41"/>
        <v>0</v>
      </c>
      <c r="H152" s="132">
        <f t="shared" si="42"/>
        <v>320.69939041095887</v>
      </c>
      <c r="I152" s="9">
        <f t="shared" si="34"/>
        <v>22586.399924657533</v>
      </c>
      <c r="J152" s="66"/>
      <c r="K152" s="11"/>
      <c r="L152" s="11"/>
      <c r="M152" s="6">
        <f t="shared" si="35"/>
        <v>70768</v>
      </c>
      <c r="N152" s="40" t="s">
        <v>229</v>
      </c>
      <c r="O152" s="38">
        <f t="shared" si="36"/>
        <v>0</v>
      </c>
      <c r="P152" s="38">
        <f t="shared" si="44"/>
        <v>2493.1506849315069</v>
      </c>
      <c r="Q152" s="38">
        <f t="shared" si="37"/>
        <v>2493.1506849315069</v>
      </c>
      <c r="R152" s="38">
        <f t="shared" si="38"/>
        <v>2493.1506849315069</v>
      </c>
      <c r="S152" s="38">
        <f t="shared" si="39"/>
        <v>0</v>
      </c>
      <c r="T152" s="38">
        <f t="shared" si="40"/>
        <v>0</v>
      </c>
    </row>
    <row r="153" spans="1:20" ht="20.25" customHeight="1" x14ac:dyDescent="0.3">
      <c r="A153" s="62"/>
      <c r="B153" s="6">
        <f t="shared" si="30"/>
        <v>71133</v>
      </c>
      <c r="C153" s="117" t="str">
        <f t="shared" si="31"/>
        <v/>
      </c>
      <c r="D153" s="131">
        <f t="shared" si="32"/>
        <v>25400.25</v>
      </c>
      <c r="E153" s="131">
        <f t="shared" si="43"/>
        <v>25400.25</v>
      </c>
      <c r="F153" s="138">
        <f t="shared" si="33"/>
        <v>22893.400684931508</v>
      </c>
      <c r="G153" s="132">
        <f t="shared" si="41"/>
        <v>0</v>
      </c>
      <c r="H153" s="132">
        <f t="shared" si="42"/>
        <v>320.50760958904107</v>
      </c>
      <c r="I153" s="9">
        <f t="shared" si="34"/>
        <v>22572.893075342468</v>
      </c>
      <c r="J153" s="66"/>
      <c r="K153" s="11"/>
      <c r="L153" s="11"/>
      <c r="M153" s="6">
        <f t="shared" si="35"/>
        <v>70950</v>
      </c>
      <c r="N153" s="40" t="s">
        <v>230</v>
      </c>
      <c r="O153" s="38">
        <f t="shared" si="36"/>
        <v>0</v>
      </c>
      <c r="P153" s="38">
        <f t="shared" si="44"/>
        <v>2506.8493150684931</v>
      </c>
      <c r="Q153" s="38">
        <f t="shared" si="37"/>
        <v>2506.8493150684931</v>
      </c>
      <c r="R153" s="38">
        <f t="shared" si="38"/>
        <v>2506.8493150684931</v>
      </c>
      <c r="S153" s="38">
        <f t="shared" si="39"/>
        <v>0</v>
      </c>
      <c r="T153" s="38">
        <f t="shared" si="40"/>
        <v>0</v>
      </c>
    </row>
    <row r="154" spans="1:20" ht="20.25" customHeight="1" x14ac:dyDescent="0.3">
      <c r="A154" s="62"/>
      <c r="B154" s="6">
        <f t="shared" si="30"/>
        <v>71315</v>
      </c>
      <c r="C154" s="117" t="str">
        <f t="shared" si="31"/>
        <v/>
      </c>
      <c r="D154" s="131">
        <f t="shared" si="32"/>
        <v>25400.25</v>
      </c>
      <c r="E154" s="131">
        <f t="shared" si="43"/>
        <v>25400.25</v>
      </c>
      <c r="F154" s="138">
        <f t="shared" si="33"/>
        <v>22907.099315068492</v>
      </c>
      <c r="G154" s="132">
        <f t="shared" si="41"/>
        <v>0</v>
      </c>
      <c r="H154" s="132">
        <f t="shared" si="42"/>
        <v>320.69939041095887</v>
      </c>
      <c r="I154" s="9">
        <f t="shared" si="34"/>
        <v>22586.399924657533</v>
      </c>
      <c r="J154" s="66"/>
      <c r="K154" s="11"/>
      <c r="L154" s="11"/>
      <c r="M154" s="6">
        <f t="shared" si="35"/>
        <v>71133</v>
      </c>
      <c r="N154" s="40" t="s">
        <v>231</v>
      </c>
      <c r="O154" s="38">
        <f t="shared" si="36"/>
        <v>0</v>
      </c>
      <c r="P154" s="38">
        <f t="shared" si="44"/>
        <v>2493.1506849315069</v>
      </c>
      <c r="Q154" s="38">
        <f t="shared" si="37"/>
        <v>2493.1506849315069</v>
      </c>
      <c r="R154" s="38">
        <f t="shared" si="38"/>
        <v>2493.1506849315069</v>
      </c>
      <c r="S154" s="38">
        <f t="shared" si="39"/>
        <v>0</v>
      </c>
      <c r="T154" s="38">
        <f t="shared" si="40"/>
        <v>0</v>
      </c>
    </row>
    <row r="155" spans="1:20" ht="20.25" customHeight="1" x14ac:dyDescent="0.3">
      <c r="A155" s="62"/>
      <c r="B155" s="6">
        <f t="shared" si="30"/>
        <v>71498</v>
      </c>
      <c r="C155" s="117" t="str">
        <f t="shared" si="31"/>
        <v/>
      </c>
      <c r="D155" s="131">
        <f t="shared" si="32"/>
        <v>25400.25</v>
      </c>
      <c r="E155" s="131">
        <f t="shared" si="43"/>
        <v>25400.25</v>
      </c>
      <c r="F155" s="138">
        <f t="shared" si="33"/>
        <v>22893.400684931508</v>
      </c>
      <c r="G155" s="132">
        <f t="shared" si="41"/>
        <v>0</v>
      </c>
      <c r="H155" s="132">
        <f t="shared" si="42"/>
        <v>320.50760958904107</v>
      </c>
      <c r="I155" s="9">
        <f t="shared" si="34"/>
        <v>22572.893075342468</v>
      </c>
      <c r="J155" s="66"/>
      <c r="K155" s="11"/>
      <c r="L155" s="11"/>
      <c r="M155" s="6">
        <f t="shared" si="35"/>
        <v>71315</v>
      </c>
      <c r="N155" s="40" t="s">
        <v>232</v>
      </c>
      <c r="O155" s="38">
        <f t="shared" si="36"/>
        <v>0</v>
      </c>
      <c r="P155" s="38">
        <f t="shared" si="44"/>
        <v>2506.8493150684931</v>
      </c>
      <c r="Q155" s="38">
        <f t="shared" si="37"/>
        <v>2506.8493150684931</v>
      </c>
      <c r="R155" s="38">
        <f t="shared" si="38"/>
        <v>2506.8493150684931</v>
      </c>
      <c r="S155" s="38">
        <f t="shared" si="39"/>
        <v>0</v>
      </c>
      <c r="T155" s="38">
        <f t="shared" si="40"/>
        <v>0</v>
      </c>
    </row>
    <row r="156" spans="1:20" ht="20.25" customHeight="1" x14ac:dyDescent="0.3">
      <c r="A156" s="62"/>
      <c r="B156" s="6">
        <f t="shared" si="30"/>
        <v>71681</v>
      </c>
      <c r="C156" s="117">
        <f t="shared" si="31"/>
        <v>639000</v>
      </c>
      <c r="D156" s="131">
        <f t="shared" si="32"/>
        <v>25400.25</v>
      </c>
      <c r="E156" s="131">
        <f t="shared" si="43"/>
        <v>25400.25</v>
      </c>
      <c r="F156" s="138">
        <f t="shared" si="33"/>
        <v>22893.400684931508</v>
      </c>
      <c r="G156" s="132">
        <f t="shared" si="41"/>
        <v>0</v>
      </c>
      <c r="H156" s="132">
        <f t="shared" si="42"/>
        <v>320.50760958904107</v>
      </c>
      <c r="I156" s="9">
        <f t="shared" si="34"/>
        <v>22572.893075342468</v>
      </c>
      <c r="J156" s="66"/>
      <c r="K156" s="11"/>
      <c r="L156" s="11"/>
      <c r="M156" s="6">
        <f t="shared" si="35"/>
        <v>71498</v>
      </c>
      <c r="N156" s="40" t="s">
        <v>233</v>
      </c>
      <c r="O156" s="38">
        <f t="shared" si="36"/>
        <v>0</v>
      </c>
      <c r="P156" s="38">
        <f t="shared" si="44"/>
        <v>2506.8493150684931</v>
      </c>
      <c r="Q156" s="38">
        <f t="shared" si="37"/>
        <v>2506.8493150684931</v>
      </c>
      <c r="R156" s="38">
        <f t="shared" si="38"/>
        <v>2506.8493150684931</v>
      </c>
      <c r="S156" s="38">
        <f t="shared" si="39"/>
        <v>0</v>
      </c>
      <c r="T156" s="38">
        <f t="shared" si="40"/>
        <v>0</v>
      </c>
    </row>
    <row r="157" spans="1:20" ht="20.25" customHeight="1" x14ac:dyDescent="0.3">
      <c r="A157" s="62"/>
      <c r="B157" s="6" t="str">
        <f t="shared" si="30"/>
        <v/>
      </c>
      <c r="C157" s="117" t="str">
        <f t="shared" si="31"/>
        <v/>
      </c>
      <c r="D157" s="131" t="str">
        <f t="shared" si="32"/>
        <v/>
      </c>
      <c r="E157" s="131" t="str">
        <f t="shared" si="43"/>
        <v/>
      </c>
      <c r="F157" s="138" t="str">
        <f t="shared" si="33"/>
        <v/>
      </c>
      <c r="G157" s="132" t="e">
        <f t="shared" si="41"/>
        <v>#VALUE!</v>
      </c>
      <c r="H157" s="132" t="e">
        <f t="shared" si="42"/>
        <v>#VALUE!</v>
      </c>
      <c r="I157" s="9" t="str">
        <f t="shared" si="34"/>
        <v/>
      </c>
      <c r="J157" s="66"/>
      <c r="K157" s="11"/>
      <c r="L157" s="11"/>
      <c r="M157" s="6" t="str">
        <f t="shared" si="35"/>
        <v/>
      </c>
      <c r="N157" s="40" t="s">
        <v>234</v>
      </c>
      <c r="O157" s="38">
        <f t="shared" si="36"/>
        <v>0</v>
      </c>
      <c r="P157" s="38" t="e">
        <f t="shared" si="44"/>
        <v>#VALUE!</v>
      </c>
      <c r="Q157" s="38" t="e">
        <f t="shared" si="37"/>
        <v>#VALUE!</v>
      </c>
      <c r="R157" s="38" t="e">
        <f t="shared" si="38"/>
        <v>#VALUE!</v>
      </c>
      <c r="S157" s="38">
        <f t="shared" si="39"/>
        <v>0</v>
      </c>
      <c r="T157" s="38" t="e">
        <f t="shared" si="40"/>
        <v>#VALUE!</v>
      </c>
    </row>
    <row r="158" spans="1:20" ht="20.25" customHeight="1" x14ac:dyDescent="0.3">
      <c r="A158" s="62"/>
      <c r="B158" s="6" t="str">
        <f t="shared" si="30"/>
        <v/>
      </c>
      <c r="C158" s="117" t="str">
        <f t="shared" si="31"/>
        <v/>
      </c>
      <c r="D158" s="131" t="str">
        <f t="shared" si="32"/>
        <v/>
      </c>
      <c r="E158" s="131" t="str">
        <f t="shared" si="43"/>
        <v/>
      </c>
      <c r="F158" s="138" t="str">
        <f t="shared" si="33"/>
        <v/>
      </c>
      <c r="G158" s="132" t="e">
        <f t="shared" si="41"/>
        <v>#VALUE!</v>
      </c>
      <c r="H158" s="132" t="e">
        <f t="shared" si="42"/>
        <v>#VALUE!</v>
      </c>
      <c r="I158" s="9" t="str">
        <f t="shared" si="34"/>
        <v/>
      </c>
      <c r="J158" s="66"/>
      <c r="K158" s="11"/>
      <c r="L158" s="11"/>
      <c r="M158" s="6" t="str">
        <f t="shared" si="35"/>
        <v/>
      </c>
      <c r="N158" s="40" t="s">
        <v>235</v>
      </c>
      <c r="O158" s="38">
        <f t="shared" si="36"/>
        <v>0</v>
      </c>
      <c r="P158" s="38" t="e">
        <f t="shared" si="44"/>
        <v>#VALUE!</v>
      </c>
      <c r="Q158" s="38" t="e">
        <f t="shared" si="37"/>
        <v>#VALUE!</v>
      </c>
      <c r="R158" s="38" t="e">
        <f t="shared" si="38"/>
        <v>#VALUE!</v>
      </c>
      <c r="S158" s="38">
        <f t="shared" si="39"/>
        <v>0</v>
      </c>
      <c r="T158" s="38" t="e">
        <f t="shared" si="40"/>
        <v>#VALUE!</v>
      </c>
    </row>
    <row r="159" spans="1:20" ht="20.25" customHeight="1" x14ac:dyDescent="0.3">
      <c r="A159" s="62"/>
      <c r="B159" s="6" t="str">
        <f t="shared" si="30"/>
        <v/>
      </c>
      <c r="C159" s="117" t="str">
        <f t="shared" si="31"/>
        <v/>
      </c>
      <c r="D159" s="131" t="str">
        <f t="shared" si="32"/>
        <v/>
      </c>
      <c r="E159" s="131" t="str">
        <f t="shared" si="43"/>
        <v/>
      </c>
      <c r="F159" s="138" t="str">
        <f t="shared" si="33"/>
        <v/>
      </c>
      <c r="G159" s="132" t="e">
        <f t="shared" si="41"/>
        <v>#VALUE!</v>
      </c>
      <c r="H159" s="132" t="e">
        <f t="shared" si="42"/>
        <v>#VALUE!</v>
      </c>
      <c r="I159" s="9" t="str">
        <f t="shared" si="34"/>
        <v/>
      </c>
      <c r="J159" s="66"/>
      <c r="K159" s="11"/>
      <c r="L159" s="11"/>
      <c r="M159" s="6" t="str">
        <f t="shared" si="35"/>
        <v/>
      </c>
      <c r="N159" s="40" t="s">
        <v>236</v>
      </c>
      <c r="O159" s="38">
        <f t="shared" si="36"/>
        <v>0</v>
      </c>
      <c r="P159" s="38" t="e">
        <f t="shared" si="44"/>
        <v>#VALUE!</v>
      </c>
      <c r="Q159" s="38" t="e">
        <f t="shared" si="37"/>
        <v>#VALUE!</v>
      </c>
      <c r="R159" s="38" t="e">
        <f t="shared" si="38"/>
        <v>#VALUE!</v>
      </c>
      <c r="S159" s="38">
        <f t="shared" si="39"/>
        <v>0</v>
      </c>
      <c r="T159" s="38" t="e">
        <f t="shared" si="40"/>
        <v>#VALUE!</v>
      </c>
    </row>
    <row r="160" spans="1:20" ht="20.25" customHeight="1" x14ac:dyDescent="0.3">
      <c r="A160" s="62"/>
      <c r="B160" s="6" t="str">
        <f t="shared" si="30"/>
        <v/>
      </c>
      <c r="C160" s="117" t="str">
        <f t="shared" si="31"/>
        <v/>
      </c>
      <c r="D160" s="131" t="str">
        <f t="shared" si="32"/>
        <v/>
      </c>
      <c r="E160" s="131" t="str">
        <f t="shared" si="43"/>
        <v/>
      </c>
      <c r="F160" s="138" t="str">
        <f t="shared" si="33"/>
        <v/>
      </c>
      <c r="G160" s="132" t="e">
        <f t="shared" si="41"/>
        <v>#VALUE!</v>
      </c>
      <c r="H160" s="132" t="e">
        <f t="shared" si="42"/>
        <v>#VALUE!</v>
      </c>
      <c r="I160" s="9" t="str">
        <f t="shared" si="34"/>
        <v/>
      </c>
      <c r="J160" s="66"/>
      <c r="K160" s="11"/>
      <c r="L160" s="11"/>
      <c r="M160" s="6" t="str">
        <f t="shared" si="35"/>
        <v/>
      </c>
      <c r="N160" s="40" t="s">
        <v>237</v>
      </c>
      <c r="O160" s="38">
        <f t="shared" si="36"/>
        <v>0</v>
      </c>
      <c r="P160" s="38" t="e">
        <f t="shared" si="44"/>
        <v>#VALUE!</v>
      </c>
      <c r="Q160" s="38" t="e">
        <f t="shared" si="37"/>
        <v>#VALUE!</v>
      </c>
      <c r="R160" s="38" t="e">
        <f t="shared" si="38"/>
        <v>#VALUE!</v>
      </c>
      <c r="S160" s="38">
        <f t="shared" si="39"/>
        <v>0</v>
      </c>
      <c r="T160" s="38" t="e">
        <f t="shared" si="40"/>
        <v>#VALUE!</v>
      </c>
    </row>
    <row r="161" spans="1:20" ht="20.25" customHeight="1" x14ac:dyDescent="0.3">
      <c r="A161" s="62"/>
      <c r="B161" s="6" t="str">
        <f t="shared" si="30"/>
        <v/>
      </c>
      <c r="C161" s="117" t="str">
        <f t="shared" si="31"/>
        <v/>
      </c>
      <c r="D161" s="131" t="str">
        <f t="shared" si="32"/>
        <v/>
      </c>
      <c r="E161" s="131" t="str">
        <f t="shared" si="43"/>
        <v/>
      </c>
      <c r="F161" s="138" t="str">
        <f t="shared" si="33"/>
        <v/>
      </c>
      <c r="G161" s="132"/>
      <c r="H161" s="132"/>
      <c r="I161" s="9" t="str">
        <f t="shared" si="34"/>
        <v/>
      </c>
      <c r="J161" s="66"/>
      <c r="K161" s="11"/>
      <c r="L161" s="11"/>
      <c r="M161" s="6" t="str">
        <f t="shared" si="35"/>
        <v/>
      </c>
      <c r="N161" s="40" t="s">
        <v>238</v>
      </c>
      <c r="O161" s="38">
        <f t="shared" si="36"/>
        <v>0</v>
      </c>
      <c r="P161" s="38" t="e">
        <f t="shared" si="44"/>
        <v>#VALUE!</v>
      </c>
      <c r="Q161" s="38" t="e">
        <f t="shared" si="37"/>
        <v>#VALUE!</v>
      </c>
      <c r="R161" s="38" t="e">
        <f t="shared" si="38"/>
        <v>#VALUE!</v>
      </c>
      <c r="S161" s="38">
        <f t="shared" si="39"/>
        <v>0</v>
      </c>
      <c r="T161" s="38" t="e">
        <f t="shared" si="40"/>
        <v>#VALUE!</v>
      </c>
    </row>
    <row r="162" spans="1:20" ht="20.25" customHeight="1" x14ac:dyDescent="0.3">
      <c r="A162" s="62"/>
      <c r="B162" s="6" t="str">
        <f t="shared" si="30"/>
        <v/>
      </c>
      <c r="C162" s="117" t="str">
        <f t="shared" si="31"/>
        <v/>
      </c>
      <c r="D162" s="131" t="str">
        <f t="shared" si="32"/>
        <v/>
      </c>
      <c r="E162" s="131" t="str">
        <f t="shared" ref="E162" si="45">IF(B162="","",IF($C$13="krw",(TRUNC(D162-$E$9*$C$9*$C$14*YEARFRAC($O$13,$O$12,IF(C146=N150,0,IF(C146=N151,1,IF(C146=N152,2,IF(C146=N153,3,4))))),0)),(TRUNC(D162-$E$9*$C$9*YEARFRAC($O$13,$O$12,IF(C146=N150,0,IF(C146=N151,1,IF(C146=N152,2,IF(C146=N153,3,4))))),0))))</f>
        <v/>
      </c>
      <c r="F162" s="7" t="str">
        <f t="shared" si="33"/>
        <v/>
      </c>
      <c r="G162" s="132"/>
      <c r="H162" s="8" t="str">
        <f t="shared" ref="H162" si="46">IF(B162="","",ROUNDDOWN(G162*10%,-1))</f>
        <v/>
      </c>
      <c r="I162" s="9" t="str">
        <f t="shared" si="34"/>
        <v/>
      </c>
      <c r="J162" s="66"/>
      <c r="K162" s="11"/>
      <c r="L162" s="11"/>
      <c r="M162" s="10"/>
      <c r="N162" s="136"/>
      <c r="O162" s="38"/>
      <c r="P162" s="38"/>
      <c r="Q162" s="38"/>
      <c r="R162" s="38"/>
      <c r="S162" s="38"/>
      <c r="T162" s="38"/>
    </row>
    <row r="163" spans="1:20" ht="20.25" customHeight="1" x14ac:dyDescent="0.3">
      <c r="A163" s="62"/>
      <c r="B163" s="67" t="s">
        <v>100</v>
      </c>
      <c r="C163" s="127">
        <f>SUM(C19:C162)</f>
        <v>639000</v>
      </c>
      <c r="D163" s="127">
        <f>SUM(D19:D162)</f>
        <v>3505234.5</v>
      </c>
      <c r="E163" s="127">
        <f>SUM(E19:E162)</f>
        <v>3485055.25</v>
      </c>
      <c r="F163" s="127"/>
      <c r="G163" s="127" t="e">
        <f>SUM(G19:G162)</f>
        <v>#VALUE!</v>
      </c>
      <c r="H163" s="127" t="e">
        <f>SUM(H19:H162)</f>
        <v>#VALUE!</v>
      </c>
      <c r="I163" s="127">
        <f>SUM(I19:I162)</f>
        <v>3118368.575815062</v>
      </c>
      <c r="J163" s="66"/>
      <c r="K163" s="47"/>
      <c r="L163" s="47"/>
      <c r="M163" s="45"/>
    </row>
    <row r="164" spans="1:20" s="15" customFormat="1" ht="15.75" customHeight="1" x14ac:dyDescent="0.3">
      <c r="A164" s="87"/>
      <c r="B164" s="59"/>
      <c r="C164" s="3"/>
      <c r="D164" s="3"/>
      <c r="E164" s="3"/>
      <c r="F164" s="3"/>
      <c r="G164" s="3"/>
      <c r="H164" s="3"/>
      <c r="I164" s="3"/>
      <c r="J164" s="70"/>
      <c r="K164" s="45"/>
      <c r="L164" s="45"/>
      <c r="M164" s="45"/>
      <c r="N164" s="29"/>
      <c r="O164" s="1"/>
    </row>
    <row r="165" spans="1:20" s="15" customFormat="1" ht="20.25" customHeight="1" x14ac:dyDescent="0.3">
      <c r="A165" s="87"/>
      <c r="B165" s="59" t="s">
        <v>103</v>
      </c>
      <c r="C165" s="3"/>
      <c r="D165" s="3"/>
      <c r="E165" s="3"/>
      <c r="F165" s="3"/>
      <c r="G165" s="3"/>
      <c r="H165" s="3"/>
      <c r="I165" s="3"/>
      <c r="J165" s="70"/>
      <c r="K165" s="45"/>
      <c r="L165" s="45"/>
      <c r="M165" s="45"/>
      <c r="N165" s="29"/>
      <c r="O165" s="1"/>
    </row>
    <row r="166" spans="1:20" s="15" customFormat="1" ht="20.25" customHeight="1" x14ac:dyDescent="0.3">
      <c r="A166" s="87"/>
      <c r="B166" s="74" t="s">
        <v>104</v>
      </c>
      <c r="C166" s="3"/>
      <c r="D166" s="3"/>
      <c r="E166" s="3"/>
      <c r="F166" s="3"/>
      <c r="G166" s="3"/>
      <c r="H166" s="3"/>
      <c r="I166" s="3"/>
      <c r="J166" s="70"/>
      <c r="K166" s="45"/>
      <c r="L166" s="45"/>
      <c r="M166" s="48"/>
      <c r="N166" s="29"/>
      <c r="O166" s="1"/>
    </row>
    <row r="167" spans="1:20" s="17" customFormat="1" ht="20.25" customHeight="1" x14ac:dyDescent="0.3">
      <c r="A167" s="88"/>
      <c r="B167" s="74" t="s">
        <v>111</v>
      </c>
      <c r="C167" s="16"/>
      <c r="D167" s="16"/>
      <c r="E167" s="16"/>
      <c r="F167" s="16"/>
      <c r="G167" s="16"/>
      <c r="H167" s="16"/>
      <c r="I167" s="16"/>
      <c r="J167" s="68"/>
      <c r="K167" s="58"/>
      <c r="L167" s="48"/>
      <c r="M167" s="48"/>
      <c r="N167" s="29"/>
      <c r="O167" s="30"/>
      <c r="P167" s="31"/>
      <c r="Q167" s="29"/>
    </row>
    <row r="168" spans="1:20" s="17" customFormat="1" ht="20.25" customHeight="1" x14ac:dyDescent="0.3">
      <c r="A168" s="88"/>
      <c r="B168" s="75" t="s">
        <v>105</v>
      </c>
      <c r="C168" s="16"/>
      <c r="D168" s="16"/>
      <c r="E168" s="16"/>
      <c r="F168" s="16"/>
      <c r="G168" s="16"/>
      <c r="H168" s="16"/>
      <c r="I168" s="16"/>
      <c r="J168" s="68"/>
      <c r="K168" s="58"/>
      <c r="L168" s="48"/>
      <c r="M168" s="48"/>
      <c r="N168" s="29"/>
      <c r="O168" s="30"/>
      <c r="P168" s="31"/>
      <c r="Q168" s="29"/>
    </row>
    <row r="169" spans="1:20" s="17" customFormat="1" ht="20.25" customHeight="1" x14ac:dyDescent="0.3">
      <c r="A169" s="88"/>
      <c r="B169" s="75" t="s">
        <v>106</v>
      </c>
      <c r="C169" s="16"/>
      <c r="D169" s="16"/>
      <c r="E169" s="16"/>
      <c r="F169" s="16"/>
      <c r="G169" s="16"/>
      <c r="H169" s="16"/>
      <c r="I169" s="16"/>
      <c r="J169" s="68"/>
      <c r="K169" s="16"/>
      <c r="L169" s="28"/>
      <c r="M169" s="49"/>
      <c r="N169" s="33"/>
      <c r="O169" s="30"/>
      <c r="P169" s="29"/>
      <c r="Q169" s="29"/>
    </row>
    <row r="170" spans="1:20" s="19" customFormat="1" ht="20.25" customHeight="1" x14ac:dyDescent="0.3">
      <c r="A170" s="89"/>
      <c r="B170" s="76" t="s">
        <v>107</v>
      </c>
      <c r="C170" s="18"/>
      <c r="D170" s="18"/>
      <c r="E170" s="18"/>
      <c r="F170" s="18"/>
      <c r="G170" s="18"/>
      <c r="H170" s="18"/>
      <c r="I170" s="18"/>
      <c r="J170" s="69"/>
      <c r="K170" s="18"/>
      <c r="L170" s="32"/>
      <c r="M170" s="49"/>
      <c r="N170" s="33"/>
      <c r="O170" s="30"/>
      <c r="P170" s="33"/>
      <c r="Q170" s="33"/>
    </row>
    <row r="171" spans="1:20" s="19" customFormat="1" ht="20.25" customHeight="1" x14ac:dyDescent="0.3">
      <c r="A171" s="89"/>
      <c r="B171" s="76" t="s">
        <v>108</v>
      </c>
      <c r="C171" s="18"/>
      <c r="D171" s="18"/>
      <c r="E171" s="18"/>
      <c r="F171" s="18"/>
      <c r="G171" s="18"/>
      <c r="H171" s="18"/>
      <c r="I171" s="18"/>
      <c r="J171" s="69"/>
      <c r="K171" s="18"/>
      <c r="L171" s="32"/>
      <c r="M171" s="49"/>
      <c r="N171" s="33"/>
      <c r="O171" s="30"/>
      <c r="P171" s="33"/>
      <c r="Q171" s="33"/>
    </row>
    <row r="172" spans="1:20" s="19" customFormat="1" ht="20.25" customHeight="1" x14ac:dyDescent="0.3">
      <c r="A172" s="89"/>
      <c r="B172" s="77" t="s">
        <v>102</v>
      </c>
      <c r="C172" s="18"/>
      <c r="D172" s="20"/>
      <c r="E172" s="20"/>
      <c r="F172" s="20"/>
      <c r="G172" s="20"/>
      <c r="H172" s="20"/>
      <c r="I172" s="20"/>
      <c r="J172" s="82"/>
      <c r="K172" s="18"/>
      <c r="L172" s="32"/>
      <c r="M172" s="50"/>
      <c r="N172" s="29"/>
      <c r="O172" s="30"/>
      <c r="P172" s="33"/>
      <c r="Q172" s="33"/>
    </row>
    <row r="173" spans="1:20" ht="20.25" customHeight="1" x14ac:dyDescent="0.3">
      <c r="A173" s="62"/>
      <c r="B173" s="76" t="s">
        <v>109</v>
      </c>
      <c r="C173" s="3"/>
      <c r="D173" s="3"/>
      <c r="E173" s="3"/>
      <c r="F173" s="3"/>
      <c r="G173" s="3"/>
      <c r="H173" s="3"/>
      <c r="I173" s="3"/>
      <c r="J173" s="70"/>
      <c r="K173" s="3"/>
    </row>
    <row r="174" spans="1:20" ht="20.25" customHeight="1" x14ac:dyDescent="0.3">
      <c r="A174" s="62"/>
      <c r="B174" s="76" t="s">
        <v>110</v>
      </c>
      <c r="C174" s="3"/>
      <c r="D174" s="3"/>
      <c r="E174" s="3"/>
      <c r="F174" s="3"/>
      <c r="G174" s="3"/>
      <c r="H174" s="3"/>
      <c r="I174" s="3"/>
      <c r="J174" s="70"/>
      <c r="K174" s="3"/>
    </row>
    <row r="175" spans="1:20" ht="20.25" customHeight="1" x14ac:dyDescent="0.3">
      <c r="A175" s="62"/>
      <c r="B175" s="76" t="s">
        <v>118</v>
      </c>
      <c r="C175" s="3"/>
      <c r="D175" s="3"/>
      <c r="E175" s="3"/>
      <c r="F175" s="3"/>
      <c r="G175" s="3"/>
      <c r="H175" s="3"/>
      <c r="I175" s="3"/>
      <c r="J175" s="70"/>
      <c r="K175" s="3"/>
    </row>
    <row r="176" spans="1:20" ht="15.75" customHeight="1" x14ac:dyDescent="0.3">
      <c r="A176" s="62"/>
      <c r="B176" s="76"/>
      <c r="C176" s="3"/>
      <c r="D176" s="3"/>
      <c r="E176" s="3"/>
      <c r="F176" s="3"/>
      <c r="G176" s="3"/>
      <c r="H176" s="3"/>
      <c r="I176" s="3"/>
      <c r="J176" s="70"/>
      <c r="K176" s="3"/>
    </row>
    <row r="177" spans="1:11" ht="15.75" customHeight="1" x14ac:dyDescent="0.3">
      <c r="A177" s="62"/>
      <c r="B177" s="76"/>
      <c r="C177" s="3"/>
      <c r="D177" s="3"/>
      <c r="E177" s="3"/>
      <c r="F177" s="3"/>
      <c r="G177" s="3"/>
      <c r="H177" s="3"/>
      <c r="I177" s="3"/>
      <c r="J177" s="70"/>
      <c r="K177" s="3"/>
    </row>
    <row r="178" spans="1:11" ht="15.75" customHeight="1" x14ac:dyDescent="0.3">
      <c r="A178" s="62"/>
      <c r="B178" s="76"/>
      <c r="C178" s="3"/>
      <c r="D178" s="3"/>
      <c r="E178" s="3"/>
      <c r="F178" s="3"/>
      <c r="G178" s="3"/>
      <c r="H178" s="3"/>
      <c r="I178" s="3"/>
      <c r="J178" s="70"/>
      <c r="K178" s="3"/>
    </row>
    <row r="179" spans="1:11" ht="15.75" customHeight="1" x14ac:dyDescent="0.3">
      <c r="A179" s="62"/>
      <c r="B179" s="76"/>
      <c r="C179" s="3"/>
      <c r="D179" s="3"/>
      <c r="E179" s="3"/>
      <c r="F179" s="3"/>
      <c r="G179" s="3"/>
      <c r="H179" s="3"/>
      <c r="I179" s="3"/>
      <c r="J179" s="70"/>
      <c r="K179" s="3"/>
    </row>
    <row r="180" spans="1:11" ht="15.75" customHeight="1" x14ac:dyDescent="0.3">
      <c r="A180" s="62"/>
      <c r="B180" s="76"/>
      <c r="C180" s="3"/>
      <c r="D180" s="3"/>
      <c r="E180" s="3"/>
      <c r="F180" s="3"/>
      <c r="G180" s="3"/>
      <c r="H180" s="3"/>
      <c r="I180" s="3"/>
      <c r="J180" s="70"/>
      <c r="K180" s="3"/>
    </row>
    <row r="181" spans="1:11" ht="15.75" customHeight="1" x14ac:dyDescent="0.3">
      <c r="A181" s="62"/>
      <c r="B181" s="76"/>
      <c r="C181" s="3"/>
      <c r="D181" s="3"/>
      <c r="E181" s="3"/>
      <c r="F181" s="3"/>
      <c r="G181" s="3"/>
      <c r="H181" s="3"/>
      <c r="I181" s="3"/>
      <c r="J181" s="70"/>
      <c r="K181" s="3"/>
    </row>
    <row r="182" spans="1:11" x14ac:dyDescent="0.3">
      <c r="A182" s="90"/>
      <c r="B182" s="71"/>
      <c r="C182" s="71"/>
      <c r="D182" s="71"/>
      <c r="E182" s="71"/>
      <c r="F182" s="71"/>
      <c r="G182" s="71"/>
      <c r="H182" s="71"/>
      <c r="I182" s="71"/>
      <c r="J182" s="72"/>
    </row>
  </sheetData>
  <mergeCells count="4">
    <mergeCell ref="B2:I2"/>
    <mergeCell ref="B5:C5"/>
    <mergeCell ref="D5:E5"/>
    <mergeCell ref="F5:G5"/>
  </mergeCells>
  <phoneticPr fontId="2" type="noConversion"/>
  <dataValidations count="5">
    <dataValidation type="list" showInputMessage="1" showErrorMessage="1" sqref="C3" xr:uid="{00000000-0002-0000-0000-000000000000}">
      <formula1>$N$7:$N$11</formula1>
    </dataValidation>
    <dataValidation type="list" allowBlank="1" showInputMessage="1" showErrorMessage="1" sqref="C10" xr:uid="{00000000-0002-0000-0000-000001000000}">
      <formula1>$O$7:$O$9</formula1>
    </dataValidation>
    <dataValidation type="list" allowBlank="1" showInputMessage="1" showErrorMessage="1" sqref="C12:C13" xr:uid="{00000000-0002-0000-0000-000002000000}">
      <formula1>$P$7:$P$11</formula1>
    </dataValidation>
    <dataValidation type="list" allowBlank="1" showInputMessage="1" showErrorMessage="1" sqref="M6:M8" xr:uid="{00000000-0002-0000-0000-000003000000}">
      <formula1>M6:M8</formula1>
    </dataValidation>
    <dataValidation type="list" allowBlank="1" showInputMessage="1" showErrorMessage="1" sqref="E4" xr:uid="{00000000-0002-0000-0000-000004000000}">
      <formula1>$M$6:$M$8</formula1>
    </dataValidation>
  </dataValidations>
  <printOptions horizontalCentered="1"/>
  <pageMargins left="0.23622047244094491" right="0.23622047244094491" top="1.1811023622047245" bottom="0.74803149606299213" header="0.31496062992125984" footer="0.31496062992125984"/>
  <pageSetup paperSize="9" scale="66" fitToHeight="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79"/>
  <sheetViews>
    <sheetView showGridLines="0" zoomScaleNormal="100" zoomScaleSheetLayoutView="90" workbookViewId="0">
      <selection activeCell="D14" sqref="D14"/>
    </sheetView>
  </sheetViews>
  <sheetFormatPr defaultColWidth="10" defaultRowHeight="13.5" x14ac:dyDescent="0.3"/>
  <cols>
    <col min="1" max="1" width="3.125" style="1" customWidth="1"/>
    <col min="2" max="3" width="17.875" style="1" customWidth="1"/>
    <col min="4" max="4" width="16.125" style="1" customWidth="1"/>
    <col min="5" max="5" width="15.5" style="1" customWidth="1"/>
    <col min="6" max="6" width="15.625" style="1" customWidth="1"/>
    <col min="7" max="7" width="16" style="1" customWidth="1"/>
    <col min="8" max="8" width="14.875" style="1" customWidth="1"/>
    <col min="9" max="9" width="15.75" style="1" customWidth="1"/>
    <col min="10" max="10" width="3.875" style="1" customWidth="1"/>
    <col min="11" max="11" width="4.125" style="1" customWidth="1"/>
    <col min="12" max="12" width="12.125" style="1" bestFit="1" customWidth="1"/>
    <col min="13" max="13" width="12.125" style="50" customWidth="1"/>
    <col min="14" max="16" width="10.5" style="1" bestFit="1" customWidth="1"/>
    <col min="17" max="17" width="11.125" style="1" customWidth="1"/>
    <col min="18" max="18" width="10" style="1"/>
    <col min="19" max="19" width="10.5" style="1" bestFit="1" customWidth="1"/>
    <col min="20" max="258" width="10" style="1"/>
    <col min="259" max="264" width="17.875" style="1" customWidth="1"/>
    <col min="265" max="267" width="15.875" style="1" customWidth="1"/>
    <col min="268" max="514" width="10" style="1"/>
    <col min="515" max="520" width="17.875" style="1" customWidth="1"/>
    <col min="521" max="523" width="15.875" style="1" customWidth="1"/>
    <col min="524" max="770" width="10" style="1"/>
    <col min="771" max="776" width="17.875" style="1" customWidth="1"/>
    <col min="777" max="779" width="15.875" style="1" customWidth="1"/>
    <col min="780" max="1026" width="10" style="1"/>
    <col min="1027" max="1032" width="17.875" style="1" customWidth="1"/>
    <col min="1033" max="1035" width="15.875" style="1" customWidth="1"/>
    <col min="1036" max="1282" width="10" style="1"/>
    <col min="1283" max="1288" width="17.875" style="1" customWidth="1"/>
    <col min="1289" max="1291" width="15.875" style="1" customWidth="1"/>
    <col min="1292" max="1538" width="10" style="1"/>
    <col min="1539" max="1544" width="17.875" style="1" customWidth="1"/>
    <col min="1545" max="1547" width="15.875" style="1" customWidth="1"/>
    <col min="1548" max="1794" width="10" style="1"/>
    <col min="1795" max="1800" width="17.875" style="1" customWidth="1"/>
    <col min="1801" max="1803" width="15.875" style="1" customWidth="1"/>
    <col min="1804" max="2050" width="10" style="1"/>
    <col min="2051" max="2056" width="17.875" style="1" customWidth="1"/>
    <col min="2057" max="2059" width="15.875" style="1" customWidth="1"/>
    <col min="2060" max="2306" width="10" style="1"/>
    <col min="2307" max="2312" width="17.875" style="1" customWidth="1"/>
    <col min="2313" max="2315" width="15.875" style="1" customWidth="1"/>
    <col min="2316" max="2562" width="10" style="1"/>
    <col min="2563" max="2568" width="17.875" style="1" customWidth="1"/>
    <col min="2569" max="2571" width="15.875" style="1" customWidth="1"/>
    <col min="2572" max="2818" width="10" style="1"/>
    <col min="2819" max="2824" width="17.875" style="1" customWidth="1"/>
    <col min="2825" max="2827" width="15.875" style="1" customWidth="1"/>
    <col min="2828" max="3074" width="10" style="1"/>
    <col min="3075" max="3080" width="17.875" style="1" customWidth="1"/>
    <col min="3081" max="3083" width="15.875" style="1" customWidth="1"/>
    <col min="3084" max="3330" width="10" style="1"/>
    <col min="3331" max="3336" width="17.875" style="1" customWidth="1"/>
    <col min="3337" max="3339" width="15.875" style="1" customWidth="1"/>
    <col min="3340" max="3586" width="10" style="1"/>
    <col min="3587" max="3592" width="17.875" style="1" customWidth="1"/>
    <col min="3593" max="3595" width="15.875" style="1" customWidth="1"/>
    <col min="3596" max="3842" width="10" style="1"/>
    <col min="3843" max="3848" width="17.875" style="1" customWidth="1"/>
    <col min="3849" max="3851" width="15.875" style="1" customWidth="1"/>
    <col min="3852" max="4098" width="10" style="1"/>
    <col min="4099" max="4104" width="17.875" style="1" customWidth="1"/>
    <col min="4105" max="4107" width="15.875" style="1" customWidth="1"/>
    <col min="4108" max="4354" width="10" style="1"/>
    <col min="4355" max="4360" width="17.875" style="1" customWidth="1"/>
    <col min="4361" max="4363" width="15.875" style="1" customWidth="1"/>
    <col min="4364" max="4610" width="10" style="1"/>
    <col min="4611" max="4616" width="17.875" style="1" customWidth="1"/>
    <col min="4617" max="4619" width="15.875" style="1" customWidth="1"/>
    <col min="4620" max="4866" width="10" style="1"/>
    <col min="4867" max="4872" width="17.875" style="1" customWidth="1"/>
    <col min="4873" max="4875" width="15.875" style="1" customWidth="1"/>
    <col min="4876" max="5122" width="10" style="1"/>
    <col min="5123" max="5128" width="17.875" style="1" customWidth="1"/>
    <col min="5129" max="5131" width="15.875" style="1" customWidth="1"/>
    <col min="5132" max="5378" width="10" style="1"/>
    <col min="5379" max="5384" width="17.875" style="1" customWidth="1"/>
    <col min="5385" max="5387" width="15.875" style="1" customWidth="1"/>
    <col min="5388" max="5634" width="10" style="1"/>
    <col min="5635" max="5640" width="17.875" style="1" customWidth="1"/>
    <col min="5641" max="5643" width="15.875" style="1" customWidth="1"/>
    <col min="5644" max="5890" width="10" style="1"/>
    <col min="5891" max="5896" width="17.875" style="1" customWidth="1"/>
    <col min="5897" max="5899" width="15.875" style="1" customWidth="1"/>
    <col min="5900" max="6146" width="10" style="1"/>
    <col min="6147" max="6152" width="17.875" style="1" customWidth="1"/>
    <col min="6153" max="6155" width="15.875" style="1" customWidth="1"/>
    <col min="6156" max="6402" width="10" style="1"/>
    <col min="6403" max="6408" width="17.875" style="1" customWidth="1"/>
    <col min="6409" max="6411" width="15.875" style="1" customWidth="1"/>
    <col min="6412" max="6658" width="10" style="1"/>
    <col min="6659" max="6664" width="17.875" style="1" customWidth="1"/>
    <col min="6665" max="6667" width="15.875" style="1" customWidth="1"/>
    <col min="6668" max="6914" width="10" style="1"/>
    <col min="6915" max="6920" width="17.875" style="1" customWidth="1"/>
    <col min="6921" max="6923" width="15.875" style="1" customWidth="1"/>
    <col min="6924" max="7170" width="10" style="1"/>
    <col min="7171" max="7176" width="17.875" style="1" customWidth="1"/>
    <col min="7177" max="7179" width="15.875" style="1" customWidth="1"/>
    <col min="7180" max="7426" width="10" style="1"/>
    <col min="7427" max="7432" width="17.875" style="1" customWidth="1"/>
    <col min="7433" max="7435" width="15.875" style="1" customWidth="1"/>
    <col min="7436" max="7682" width="10" style="1"/>
    <col min="7683" max="7688" width="17.875" style="1" customWidth="1"/>
    <col min="7689" max="7691" width="15.875" style="1" customWidth="1"/>
    <col min="7692" max="7938" width="10" style="1"/>
    <col min="7939" max="7944" width="17.875" style="1" customWidth="1"/>
    <col min="7945" max="7947" width="15.875" style="1" customWidth="1"/>
    <col min="7948" max="8194" width="10" style="1"/>
    <col min="8195" max="8200" width="17.875" style="1" customWidth="1"/>
    <col min="8201" max="8203" width="15.875" style="1" customWidth="1"/>
    <col min="8204" max="8450" width="10" style="1"/>
    <col min="8451" max="8456" width="17.875" style="1" customWidth="1"/>
    <col min="8457" max="8459" width="15.875" style="1" customWidth="1"/>
    <col min="8460" max="8706" width="10" style="1"/>
    <col min="8707" max="8712" width="17.875" style="1" customWidth="1"/>
    <col min="8713" max="8715" width="15.875" style="1" customWidth="1"/>
    <col min="8716" max="8962" width="10" style="1"/>
    <col min="8963" max="8968" width="17.875" style="1" customWidth="1"/>
    <col min="8969" max="8971" width="15.875" style="1" customWidth="1"/>
    <col min="8972" max="9218" width="10" style="1"/>
    <col min="9219" max="9224" width="17.875" style="1" customWidth="1"/>
    <col min="9225" max="9227" width="15.875" style="1" customWidth="1"/>
    <col min="9228" max="9474" width="10" style="1"/>
    <col min="9475" max="9480" width="17.875" style="1" customWidth="1"/>
    <col min="9481" max="9483" width="15.875" style="1" customWidth="1"/>
    <col min="9484" max="9730" width="10" style="1"/>
    <col min="9731" max="9736" width="17.875" style="1" customWidth="1"/>
    <col min="9737" max="9739" width="15.875" style="1" customWidth="1"/>
    <col min="9740" max="9986" width="10" style="1"/>
    <col min="9987" max="9992" width="17.875" style="1" customWidth="1"/>
    <col min="9993" max="9995" width="15.875" style="1" customWidth="1"/>
    <col min="9996" max="10242" width="10" style="1"/>
    <col min="10243" max="10248" width="17.875" style="1" customWidth="1"/>
    <col min="10249" max="10251" width="15.875" style="1" customWidth="1"/>
    <col min="10252" max="10498" width="10" style="1"/>
    <col min="10499" max="10504" width="17.875" style="1" customWidth="1"/>
    <col min="10505" max="10507" width="15.875" style="1" customWidth="1"/>
    <col min="10508" max="10754" width="10" style="1"/>
    <col min="10755" max="10760" width="17.875" style="1" customWidth="1"/>
    <col min="10761" max="10763" width="15.875" style="1" customWidth="1"/>
    <col min="10764" max="11010" width="10" style="1"/>
    <col min="11011" max="11016" width="17.875" style="1" customWidth="1"/>
    <col min="11017" max="11019" width="15.875" style="1" customWidth="1"/>
    <col min="11020" max="11266" width="10" style="1"/>
    <col min="11267" max="11272" width="17.875" style="1" customWidth="1"/>
    <col min="11273" max="11275" width="15.875" style="1" customWidth="1"/>
    <col min="11276" max="11522" width="10" style="1"/>
    <col min="11523" max="11528" width="17.875" style="1" customWidth="1"/>
    <col min="11529" max="11531" width="15.875" style="1" customWidth="1"/>
    <col min="11532" max="11778" width="10" style="1"/>
    <col min="11779" max="11784" width="17.875" style="1" customWidth="1"/>
    <col min="11785" max="11787" width="15.875" style="1" customWidth="1"/>
    <col min="11788" max="12034" width="10" style="1"/>
    <col min="12035" max="12040" width="17.875" style="1" customWidth="1"/>
    <col min="12041" max="12043" width="15.875" style="1" customWidth="1"/>
    <col min="12044" max="12290" width="10" style="1"/>
    <col min="12291" max="12296" width="17.875" style="1" customWidth="1"/>
    <col min="12297" max="12299" width="15.875" style="1" customWidth="1"/>
    <col min="12300" max="12546" width="10" style="1"/>
    <col min="12547" max="12552" width="17.875" style="1" customWidth="1"/>
    <col min="12553" max="12555" width="15.875" style="1" customWidth="1"/>
    <col min="12556" max="12802" width="10" style="1"/>
    <col min="12803" max="12808" width="17.875" style="1" customWidth="1"/>
    <col min="12809" max="12811" width="15.875" style="1" customWidth="1"/>
    <col min="12812" max="13058" width="10" style="1"/>
    <col min="13059" max="13064" width="17.875" style="1" customWidth="1"/>
    <col min="13065" max="13067" width="15.875" style="1" customWidth="1"/>
    <col min="13068" max="13314" width="10" style="1"/>
    <col min="13315" max="13320" width="17.875" style="1" customWidth="1"/>
    <col min="13321" max="13323" width="15.875" style="1" customWidth="1"/>
    <col min="13324" max="13570" width="10" style="1"/>
    <col min="13571" max="13576" width="17.875" style="1" customWidth="1"/>
    <col min="13577" max="13579" width="15.875" style="1" customWidth="1"/>
    <col min="13580" max="13826" width="10" style="1"/>
    <col min="13827" max="13832" width="17.875" style="1" customWidth="1"/>
    <col min="13833" max="13835" width="15.875" style="1" customWidth="1"/>
    <col min="13836" max="14082" width="10" style="1"/>
    <col min="14083" max="14088" width="17.875" style="1" customWidth="1"/>
    <col min="14089" max="14091" width="15.875" style="1" customWidth="1"/>
    <col min="14092" max="14338" width="10" style="1"/>
    <col min="14339" max="14344" width="17.875" style="1" customWidth="1"/>
    <col min="14345" max="14347" width="15.875" style="1" customWidth="1"/>
    <col min="14348" max="14594" width="10" style="1"/>
    <col min="14595" max="14600" width="17.875" style="1" customWidth="1"/>
    <col min="14601" max="14603" width="15.875" style="1" customWidth="1"/>
    <col min="14604" max="14850" width="10" style="1"/>
    <col min="14851" max="14856" width="17.875" style="1" customWidth="1"/>
    <col min="14857" max="14859" width="15.875" style="1" customWidth="1"/>
    <col min="14860" max="15106" width="10" style="1"/>
    <col min="15107" max="15112" width="17.875" style="1" customWidth="1"/>
    <col min="15113" max="15115" width="15.875" style="1" customWidth="1"/>
    <col min="15116" max="15362" width="10" style="1"/>
    <col min="15363" max="15368" width="17.875" style="1" customWidth="1"/>
    <col min="15369" max="15371" width="15.875" style="1" customWidth="1"/>
    <col min="15372" max="15618" width="10" style="1"/>
    <col min="15619" max="15624" width="17.875" style="1" customWidth="1"/>
    <col min="15625" max="15627" width="15.875" style="1" customWidth="1"/>
    <col min="15628" max="15874" width="10" style="1"/>
    <col min="15875" max="15880" width="17.875" style="1" customWidth="1"/>
    <col min="15881" max="15883" width="15.875" style="1" customWidth="1"/>
    <col min="15884" max="16130" width="10" style="1"/>
    <col min="16131" max="16136" width="17.875" style="1" customWidth="1"/>
    <col min="16137" max="16139" width="15.875" style="1" customWidth="1"/>
    <col min="16140" max="16384" width="10" style="1"/>
  </cols>
  <sheetData>
    <row r="1" spans="1:19" ht="26.25" customHeight="1" x14ac:dyDescent="0.3">
      <c r="A1" s="83"/>
      <c r="B1" s="84" t="s">
        <v>112</v>
      </c>
      <c r="C1" s="60"/>
      <c r="D1" s="60"/>
      <c r="E1" s="60"/>
      <c r="F1" s="60"/>
      <c r="G1" s="60"/>
      <c r="H1" s="60"/>
      <c r="I1" s="60"/>
      <c r="J1" s="61"/>
      <c r="K1" s="3"/>
      <c r="M1" s="118"/>
    </row>
    <row r="2" spans="1:19" ht="42.75" customHeight="1" x14ac:dyDescent="0.3">
      <c r="A2" s="62"/>
      <c r="B2" s="140" t="str">
        <f>"("&amp;C11&amp;")"&amp;" "&amp;C15&amp;" "&amp; "시뮬레이션"</f>
        <v>(USD) KOROIL 0.875 10/05/25 시뮬레이션</v>
      </c>
      <c r="C2" s="140"/>
      <c r="D2" s="140"/>
      <c r="E2" s="140"/>
      <c r="F2" s="140"/>
      <c r="G2" s="140"/>
      <c r="H2" s="140"/>
      <c r="I2" s="140"/>
      <c r="J2" s="85"/>
      <c r="K2" s="80"/>
      <c r="M2" s="44"/>
      <c r="N2" s="42"/>
    </row>
    <row r="3" spans="1:19" ht="14.25" customHeight="1" x14ac:dyDescent="0.3">
      <c r="A3" s="62"/>
      <c r="B3" s="78" t="s">
        <v>31</v>
      </c>
      <c r="C3" s="55" t="s">
        <v>96</v>
      </c>
      <c r="D3" s="2"/>
      <c r="E3" s="2"/>
      <c r="F3" s="2"/>
      <c r="G3" s="2"/>
      <c r="H3" s="2"/>
      <c r="I3" s="2"/>
      <c r="J3" s="63"/>
      <c r="K3" s="2"/>
      <c r="L3" s="3"/>
      <c r="M3" s="45"/>
      <c r="O3" s="25"/>
      <c r="P3" s="51"/>
      <c r="Q3" s="45"/>
    </row>
    <row r="4" spans="1:19" ht="15.75" customHeight="1" x14ac:dyDescent="0.3">
      <c r="A4" s="62"/>
      <c r="B4" s="3"/>
      <c r="C4" s="3"/>
      <c r="D4" s="3"/>
      <c r="E4" s="37"/>
      <c r="F4" s="3"/>
      <c r="G4" s="3"/>
      <c r="H4" s="5"/>
      <c r="I4" s="3"/>
      <c r="J4" s="70"/>
      <c r="K4" s="41"/>
      <c r="L4" s="3"/>
      <c r="M4" s="45"/>
      <c r="O4" s="25"/>
      <c r="P4" s="52"/>
      <c r="Q4" s="45"/>
    </row>
    <row r="5" spans="1:19" ht="22.5" customHeight="1" thickBot="1" x14ac:dyDescent="0.35">
      <c r="A5" s="62"/>
      <c r="B5" s="141" t="s">
        <v>24</v>
      </c>
      <c r="C5" s="141"/>
      <c r="D5" s="142" t="s">
        <v>0</v>
      </c>
      <c r="E5" s="142"/>
      <c r="F5" s="143" t="s">
        <v>1</v>
      </c>
      <c r="G5" s="144"/>
      <c r="H5" s="79"/>
      <c r="I5" s="43"/>
      <c r="J5" s="81"/>
      <c r="K5" s="43"/>
      <c r="L5" s="3"/>
      <c r="M5" s="45"/>
      <c r="O5" s="45"/>
      <c r="P5" s="45"/>
      <c r="Q5" s="45"/>
    </row>
    <row r="6" spans="1:19" ht="22.5" customHeight="1" thickBot="1" x14ac:dyDescent="0.35">
      <c r="A6" s="62"/>
      <c r="B6" s="103" t="s">
        <v>18</v>
      </c>
      <c r="C6" s="91">
        <v>44109</v>
      </c>
      <c r="D6" s="103" t="s">
        <v>40</v>
      </c>
      <c r="E6" s="36">
        <f>ROUNDUP(E14/(1-G6),-3)</f>
        <v>388000</v>
      </c>
      <c r="F6" s="103" t="s">
        <v>42</v>
      </c>
      <c r="G6" s="111">
        <v>0.01</v>
      </c>
      <c r="H6" s="79"/>
      <c r="I6" s="97" t="str">
        <f>"고객 입금액"&amp;"("&amp;C11&amp;")"</f>
        <v>고객 입금액(USD)</v>
      </c>
      <c r="J6" s="81"/>
      <c r="K6" s="43"/>
      <c r="L6" s="3"/>
      <c r="M6" s="45"/>
      <c r="N6" s="112" t="s">
        <v>119</v>
      </c>
      <c r="O6" s="112" t="s">
        <v>120</v>
      </c>
      <c r="P6" s="112" t="s">
        <v>121</v>
      </c>
    </row>
    <row r="7" spans="1:19" ht="22.5" customHeight="1" thickBot="1" x14ac:dyDescent="0.35">
      <c r="A7" s="62"/>
      <c r="B7" s="104" t="s">
        <v>19</v>
      </c>
      <c r="C7" s="91">
        <v>45935</v>
      </c>
      <c r="D7" s="103" t="s">
        <v>22</v>
      </c>
      <c r="E7" s="110">
        <v>45443</v>
      </c>
      <c r="F7" s="103" t="s">
        <v>45</v>
      </c>
      <c r="G7" s="100">
        <f>TRUNC(E6*G6,2)</f>
        <v>3880</v>
      </c>
      <c r="H7" s="79"/>
      <c r="I7" s="96">
        <f>E6</f>
        <v>388000</v>
      </c>
      <c r="J7" s="81"/>
      <c r="K7" s="43"/>
      <c r="L7" s="3"/>
      <c r="M7" s="45"/>
      <c r="N7" s="113" t="s">
        <v>26</v>
      </c>
      <c r="O7" s="113" t="s">
        <v>35</v>
      </c>
      <c r="P7" s="113" t="s">
        <v>114</v>
      </c>
    </row>
    <row r="8" spans="1:19" ht="22.5" customHeight="1" x14ac:dyDescent="0.3">
      <c r="A8" s="62"/>
      <c r="B8" s="104" t="s">
        <v>25</v>
      </c>
      <c r="C8" s="91">
        <f>COUPPCD(C13,C7,IF($C$12=$O$9,1,IF($C$12=$O$8,2,4)),IF(C3=N7,0,IF(C3=N8,1,IF(C3=N9,2,IF(C3=N10,3,4)))))</f>
        <v>45387</v>
      </c>
      <c r="D8" s="103" t="s">
        <v>23</v>
      </c>
      <c r="E8" s="108">
        <v>45945</v>
      </c>
      <c r="F8" s="103" t="s">
        <v>43</v>
      </c>
      <c r="G8" s="111">
        <v>3.0000000000000001E-3</v>
      </c>
      <c r="H8" s="79"/>
      <c r="I8" s="43"/>
      <c r="J8" s="81"/>
      <c r="K8" s="43"/>
      <c r="L8" s="3"/>
      <c r="M8" s="45"/>
      <c r="N8" s="114" t="s">
        <v>27</v>
      </c>
      <c r="O8" s="114" t="s">
        <v>37</v>
      </c>
      <c r="P8" s="114" t="s">
        <v>115</v>
      </c>
    </row>
    <row r="9" spans="1:19" ht="22.5" customHeight="1" x14ac:dyDescent="0.3">
      <c r="A9" s="62"/>
      <c r="B9" s="104" t="s">
        <v>20</v>
      </c>
      <c r="C9" s="92">
        <v>8.7500000000000008E-3</v>
      </c>
      <c r="D9" s="103" t="s">
        <v>4</v>
      </c>
      <c r="E9" s="109">
        <v>406000</v>
      </c>
      <c r="F9" s="103" t="s">
        <v>5</v>
      </c>
      <c r="G9" s="101">
        <f>+E8-E7</f>
        <v>502</v>
      </c>
      <c r="H9" s="79"/>
      <c r="I9" s="43"/>
      <c r="J9" s="81"/>
      <c r="K9" s="43"/>
      <c r="L9" s="3"/>
      <c r="M9" s="45"/>
      <c r="N9" s="114" t="s">
        <v>28</v>
      </c>
      <c r="O9" s="114" t="s">
        <v>38</v>
      </c>
      <c r="P9" s="114" t="s">
        <v>116</v>
      </c>
    </row>
    <row r="10" spans="1:19" ht="22.5" customHeight="1" x14ac:dyDescent="0.3">
      <c r="A10" s="62"/>
      <c r="B10" s="104" t="s">
        <v>21</v>
      </c>
      <c r="C10" s="93" t="s">
        <v>98</v>
      </c>
      <c r="D10" s="103" t="s">
        <v>32</v>
      </c>
      <c r="E10" s="34">
        <f>ROUNDUP(PRICE($C$13,$C$7,$C$9,$E$12,100,IF($C$12=O9,1,IF($C$12=O8,2,4))),3)</f>
        <v>94.37</v>
      </c>
      <c r="F10" s="104" t="s">
        <v>6</v>
      </c>
      <c r="G10" s="102">
        <f>D60+C60+E15-($E$6*G8/365*G9)</f>
        <v>410034.62359208526</v>
      </c>
      <c r="H10" s="79"/>
      <c r="I10" s="43"/>
      <c r="J10" s="81"/>
      <c r="K10" s="43"/>
      <c r="L10" s="4"/>
      <c r="M10" s="46"/>
      <c r="N10" s="114" t="s">
        <v>29</v>
      </c>
      <c r="O10" s="114"/>
      <c r="P10" s="114" t="s">
        <v>117</v>
      </c>
    </row>
    <row r="11" spans="1:19" ht="22.5" customHeight="1" x14ac:dyDescent="0.3">
      <c r="A11" s="62"/>
      <c r="B11" s="104" t="s">
        <v>39</v>
      </c>
      <c r="C11" s="93" t="s">
        <v>113</v>
      </c>
      <c r="D11" s="103" t="s">
        <v>33</v>
      </c>
      <c r="E11" s="34"/>
      <c r="F11" s="107" t="s">
        <v>95</v>
      </c>
      <c r="G11" s="102">
        <f>E6*G8/365*(E8-C7)</f>
        <v>31.890410958904106</v>
      </c>
      <c r="H11" s="79"/>
      <c r="I11" s="43"/>
      <c r="J11" s="81"/>
      <c r="K11" s="43"/>
      <c r="L11" s="4"/>
      <c r="M11" s="46"/>
      <c r="N11" s="115" t="s">
        <v>30</v>
      </c>
      <c r="O11" s="115"/>
      <c r="P11" s="115"/>
    </row>
    <row r="12" spans="1:19" ht="22.5" customHeight="1" x14ac:dyDescent="0.3">
      <c r="A12" s="62"/>
      <c r="B12" s="103" t="s">
        <v>34</v>
      </c>
      <c r="C12" s="94" t="s">
        <v>36</v>
      </c>
      <c r="D12" s="103" t="s">
        <v>7</v>
      </c>
      <c r="E12" s="116">
        <v>5.3786300000000002E-2</v>
      </c>
      <c r="F12" s="104" t="s">
        <v>10</v>
      </c>
      <c r="G12" s="102">
        <f>+I60+C60+E15-G11</f>
        <v>410034.62359208526</v>
      </c>
      <c r="H12" s="79"/>
      <c r="I12" s="43"/>
      <c r="J12" s="81"/>
      <c r="K12" s="43"/>
      <c r="L12" s="4"/>
      <c r="M12" s="46"/>
    </row>
    <row r="13" spans="1:19" ht="22.5" customHeight="1" x14ac:dyDescent="0.3">
      <c r="A13" s="62"/>
      <c r="B13" s="105" t="s">
        <v>8</v>
      </c>
      <c r="C13" s="95">
        <v>45456</v>
      </c>
      <c r="D13" s="103" t="s">
        <v>9</v>
      </c>
      <c r="E13" s="98">
        <f>$E$9*$C$9*YEARFRAC($C$8,$C$13,IF(C3=N7,0,IF(C3=N8,1,IF(C3=N9,2,IF(C3=N10,3,4)))))</f>
        <v>671.02777777777783</v>
      </c>
      <c r="F13" s="21" t="s">
        <v>12</v>
      </c>
      <c r="G13" s="22">
        <f>(G10-E6)/E6*365/G9</f>
        <v>4.1291727990671954E-2</v>
      </c>
      <c r="H13" s="79"/>
      <c r="I13" s="43"/>
      <c r="J13" s="81"/>
      <c r="K13" s="43"/>
      <c r="L13" s="4"/>
      <c r="M13" s="46"/>
      <c r="O13" s="35"/>
    </row>
    <row r="14" spans="1:19" ht="22.5" customHeight="1" x14ac:dyDescent="0.3">
      <c r="A14" s="62"/>
      <c r="B14" s="106" t="s">
        <v>11</v>
      </c>
      <c r="C14" s="56">
        <f>C13-C8</f>
        <v>69</v>
      </c>
      <c r="D14" s="103" t="s">
        <v>41</v>
      </c>
      <c r="E14" s="99">
        <f>E9*E10/100+E13</f>
        <v>383813.22777777776</v>
      </c>
      <c r="F14" s="21" t="s">
        <v>2</v>
      </c>
      <c r="G14" s="22">
        <f>(G12-E6)/E6*365/G9</f>
        <v>4.1291727990671954E-2</v>
      </c>
      <c r="H14" s="3"/>
      <c r="I14" s="53"/>
      <c r="J14" s="64"/>
      <c r="K14" s="53"/>
      <c r="L14" s="3"/>
      <c r="M14" s="45"/>
    </row>
    <row r="15" spans="1:19" ht="22.5" customHeight="1" x14ac:dyDescent="0.3">
      <c r="A15" s="62"/>
      <c r="B15" s="106" t="s">
        <v>94</v>
      </c>
      <c r="C15" s="56" t="s">
        <v>97</v>
      </c>
      <c r="D15" s="103" t="s">
        <v>44</v>
      </c>
      <c r="E15" s="98">
        <f>E6-G7-E14</f>
        <v>306.77222222223645</v>
      </c>
      <c r="F15" s="21" t="s">
        <v>3</v>
      </c>
      <c r="G15" s="22">
        <f>G14/(1-0.154)</f>
        <v>4.880818911426945E-2</v>
      </c>
      <c r="H15" s="3"/>
      <c r="I15" s="57"/>
      <c r="J15" s="65"/>
      <c r="K15" s="39"/>
      <c r="L15" s="3"/>
      <c r="M15" s="45"/>
    </row>
    <row r="16" spans="1:19" ht="20.25" customHeight="1" x14ac:dyDescent="0.3">
      <c r="A16" s="62"/>
      <c r="B16" s="73"/>
      <c r="C16" s="24"/>
      <c r="D16" s="25"/>
      <c r="E16" s="26"/>
      <c r="F16" s="25"/>
      <c r="G16" s="25"/>
      <c r="H16" s="27"/>
      <c r="I16" s="39"/>
      <c r="J16" s="65"/>
      <c r="K16" s="39"/>
      <c r="L16" s="3"/>
      <c r="M16" s="45"/>
      <c r="S16" s="54"/>
    </row>
    <row r="17" spans="1:20" ht="20.25" customHeight="1" x14ac:dyDescent="0.3">
      <c r="A17" s="62"/>
      <c r="B17" s="3"/>
      <c r="C17" s="23"/>
      <c r="D17" s="23"/>
      <c r="E17" s="4"/>
      <c r="F17" s="3"/>
      <c r="G17" s="3"/>
      <c r="H17" s="5"/>
      <c r="I17" s="3"/>
      <c r="J17" s="70"/>
      <c r="K17" s="45"/>
      <c r="L17" s="45"/>
      <c r="M17" s="45"/>
    </row>
    <row r="18" spans="1:20" ht="20.25" customHeight="1" x14ac:dyDescent="0.3">
      <c r="A18" s="62"/>
      <c r="B18" s="21" t="s">
        <v>101</v>
      </c>
      <c r="C18" s="21" t="s">
        <v>99</v>
      </c>
      <c r="D18" s="21" t="s">
        <v>14</v>
      </c>
      <c r="E18" s="21" t="s">
        <v>46</v>
      </c>
      <c r="F18" s="21" t="s">
        <v>47</v>
      </c>
      <c r="G18" s="21" t="s">
        <v>15</v>
      </c>
      <c r="H18" s="21" t="s">
        <v>16</v>
      </c>
      <c r="I18" s="21" t="s">
        <v>17</v>
      </c>
      <c r="J18" s="66"/>
      <c r="K18" s="25"/>
      <c r="L18" s="25"/>
      <c r="M18" s="21" t="s">
        <v>13</v>
      </c>
      <c r="O18" s="1" t="s">
        <v>48</v>
      </c>
      <c r="P18" s="1" t="s">
        <v>53</v>
      </c>
      <c r="Q18" s="1" t="s">
        <v>50</v>
      </c>
      <c r="R18" s="1" t="s">
        <v>52</v>
      </c>
      <c r="S18" s="1" t="s">
        <v>49</v>
      </c>
      <c r="T18" s="1" t="s">
        <v>51</v>
      </c>
    </row>
    <row r="19" spans="1:20" ht="20.25" customHeight="1" x14ac:dyDescent="0.3">
      <c r="A19" s="62"/>
      <c r="B19" s="6">
        <f>COUPNCD(C13,C7,IF($C$12=O9,1,IF($C$12=O8,2,4)))</f>
        <v>45570</v>
      </c>
      <c r="C19" s="117" t="str">
        <f>IF(B19=$C$7,$E$9,"")</f>
        <v/>
      </c>
      <c r="D19" s="7">
        <f>IF(B19="","",TRUNC(($C$9*$E$9)/(IF($C$12=$O$9,1,IF($C$12=$O$8,2,4))),2))</f>
        <v>1776.25</v>
      </c>
      <c r="E19" s="7">
        <f>IF(B19="","",D19-$E$9*$C$9*YEARFRAC($C$8,$C$13,IF(C3=N7,0,IF(C3=N8,1,IF(C3=N9,2,IF(C3=N10,3,4))))))</f>
        <v>1105.2222222222222</v>
      </c>
      <c r="F19" s="7">
        <f>IF(E19&gt;R19,E19-R19,0)</f>
        <v>0</v>
      </c>
      <c r="G19" s="8">
        <f>ROUNDDOWN(F19*14%,2)</f>
        <v>0</v>
      </c>
      <c r="H19" s="8">
        <f>ROUNDDOWN(G19*10%,2)</f>
        <v>0</v>
      </c>
      <c r="I19" s="9">
        <f>IF(B19="","",D19-P19-G19-H19)</f>
        <v>1371.2417808219179</v>
      </c>
      <c r="J19" s="86"/>
      <c r="K19" s="11"/>
      <c r="L19" s="11"/>
      <c r="M19" s="6">
        <f>E7</f>
        <v>45443</v>
      </c>
      <c r="N19" s="40" t="s">
        <v>54</v>
      </c>
      <c r="O19" s="38">
        <f>G7</f>
        <v>3880</v>
      </c>
      <c r="P19" s="38">
        <f>$E$6*$G$8/365*(_xlfn.DAYS(B19,$E$7))</f>
        <v>405.00821917808219</v>
      </c>
      <c r="Q19" s="38">
        <f>P19</f>
        <v>405.00821917808219</v>
      </c>
      <c r="R19" s="38">
        <f>+O19+Q19</f>
        <v>4285.0082191780821</v>
      </c>
      <c r="S19" s="38">
        <f t="shared" ref="S19:S58" si="0">IF(E19&lt;O19,O19-E19,0)</f>
        <v>2774.7777777777778</v>
      </c>
      <c r="T19" s="38">
        <f t="shared" ref="T19:T58" si="1">IF(S19&gt;0,Q19,IF(E19&gt;R19,0,Q19-(E19-O19)))</f>
        <v>405.00821917808219</v>
      </c>
    </row>
    <row r="20" spans="1:20" ht="20.25" customHeight="1" x14ac:dyDescent="0.3">
      <c r="A20" s="62"/>
      <c r="B20" s="6">
        <f t="shared" ref="B20:B58" si="2">IF(B19&lt;$C$7,COUPNCD(B19,$C$7,IF($C$12=O$9,1,IF($C$12=O$8,2,4))),"")</f>
        <v>45752</v>
      </c>
      <c r="C20" s="117" t="str">
        <f>IF(B20=$C$7,$E$9,"")</f>
        <v/>
      </c>
      <c r="D20" s="7">
        <f t="shared" ref="D20:D58" si="3">IF(B20="","",TRUNC(($C$9*$E$9)/(IF($C$12=$O$9,1,IF($C$12=$O$8,2,4))),2))</f>
        <v>1776.25</v>
      </c>
      <c r="E20" s="7">
        <f>IF(B20="","",D20)</f>
        <v>1776.25</v>
      </c>
      <c r="F20" s="7">
        <f>IF(B20="","",IF(E20&gt;R20,E20-R20,0))</f>
        <v>0</v>
      </c>
      <c r="G20" s="8">
        <f>IF(B20="","",ROUNDDOWN(F20*14%,2))</f>
        <v>0</v>
      </c>
      <c r="H20" s="8">
        <f t="shared" ref="H20:H24" si="4">IF(B20="","",ROUNDDOWN(G20*10%,2))</f>
        <v>0</v>
      </c>
      <c r="I20" s="9">
        <f t="shared" ref="I20:I24" si="5">IF(B20="","",D20-P20-G20-H20)</f>
        <v>1195.8445205479452</v>
      </c>
      <c r="J20" s="66"/>
      <c r="K20" s="11"/>
      <c r="L20" s="11"/>
      <c r="M20" s="6">
        <f>IF(B19&lt;$C$7,COUPNCD(M19,$C$7,IF($C$12=$O$9,1,IF($C$12=$O$8,2,4))),"")</f>
        <v>45570</v>
      </c>
      <c r="N20" s="40" t="s">
        <v>55</v>
      </c>
      <c r="O20" s="38">
        <f>S19</f>
        <v>2774.7777777777778</v>
      </c>
      <c r="P20" s="38">
        <f>$E$6*$G$8/365*(_xlfn.DAYS(B20,M20))</f>
        <v>580.40547945205481</v>
      </c>
      <c r="Q20" s="38">
        <f>+T19+P20</f>
        <v>985.41369863013699</v>
      </c>
      <c r="R20" s="38">
        <f>+O20+Q20</f>
        <v>3760.1914764079147</v>
      </c>
      <c r="S20" s="38">
        <f t="shared" si="0"/>
        <v>998.52777777777783</v>
      </c>
      <c r="T20" s="38">
        <f t="shared" si="1"/>
        <v>985.41369863013699</v>
      </c>
    </row>
    <row r="21" spans="1:20" ht="20.25" customHeight="1" x14ac:dyDescent="0.3">
      <c r="A21" s="62"/>
      <c r="B21" s="6">
        <f t="shared" si="2"/>
        <v>45935</v>
      </c>
      <c r="C21" s="117">
        <f t="shared" ref="C21:C58" si="6">IF(B21=$C$7,$E$9,"")</f>
        <v>406000</v>
      </c>
      <c r="D21" s="7">
        <f t="shared" si="3"/>
        <v>1776.25</v>
      </c>
      <c r="E21" s="7">
        <f>IF(B21="","",D21)</f>
        <v>1776.25</v>
      </c>
      <c r="F21" s="7">
        <f t="shared" ref="F21:F58" si="7">IF(B21="","",IF(E21&gt;R21,E21-R21,0))</f>
        <v>0</v>
      </c>
      <c r="G21" s="8">
        <f>IF(B21="","",ROUNDDOWN(F21*14%,2))</f>
        <v>0</v>
      </c>
      <c r="H21" s="8">
        <f t="shared" si="4"/>
        <v>0</v>
      </c>
      <c r="I21" s="9">
        <f t="shared" si="5"/>
        <v>1192.6554794520548</v>
      </c>
      <c r="J21" s="66"/>
      <c r="K21" s="11"/>
      <c r="L21" s="11"/>
      <c r="M21" s="6">
        <f t="shared" ref="M21:M58" si="8">IF(B20&lt;$C$7,COUPNCD(M20,$C$7,IF($C$12=$O$9,1,IF($C$12=$O$8,2,4))),"")</f>
        <v>45752</v>
      </c>
      <c r="N21" s="40" t="s">
        <v>56</v>
      </c>
      <c r="O21" s="38">
        <f>S20</f>
        <v>998.52777777777783</v>
      </c>
      <c r="P21" s="38">
        <f t="shared" ref="P21:P58" si="9">$E$6*$G$8/365*(_xlfn.DAYS(B21,M21))</f>
        <v>583.59452054794519</v>
      </c>
      <c r="Q21" s="38">
        <f>+T20+P21</f>
        <v>1569.0082191780821</v>
      </c>
      <c r="R21" s="38">
        <f>+O21+Q21</f>
        <v>2567.5359969558599</v>
      </c>
      <c r="S21" s="38">
        <f t="shared" si="0"/>
        <v>0</v>
      </c>
      <c r="T21" s="38">
        <f t="shared" si="1"/>
        <v>791.2859969558599</v>
      </c>
    </row>
    <row r="22" spans="1:20" ht="20.25" customHeight="1" x14ac:dyDescent="0.3">
      <c r="A22" s="62"/>
      <c r="B22" s="6" t="str">
        <f t="shared" si="2"/>
        <v/>
      </c>
      <c r="C22" s="117" t="str">
        <f t="shared" si="6"/>
        <v/>
      </c>
      <c r="D22" s="7" t="str">
        <f t="shared" si="3"/>
        <v/>
      </c>
      <c r="E22" s="7" t="str">
        <f t="shared" ref="E22:E58" si="10">IF(B22="","",D22)</f>
        <v/>
      </c>
      <c r="F22" s="7" t="str">
        <f t="shared" si="7"/>
        <v/>
      </c>
      <c r="G22" s="8" t="str">
        <f t="shared" ref="G22:G24" si="11">IF(B22="","",ROUNDDOWN(E22*14%,2))</f>
        <v/>
      </c>
      <c r="H22" s="8" t="str">
        <f t="shared" si="4"/>
        <v/>
      </c>
      <c r="I22" s="9" t="str">
        <f t="shared" si="5"/>
        <v/>
      </c>
      <c r="J22" s="66"/>
      <c r="K22" s="11"/>
      <c r="L22" s="11"/>
      <c r="M22" s="6" t="str">
        <f t="shared" si="8"/>
        <v/>
      </c>
      <c r="N22" s="40" t="s">
        <v>57</v>
      </c>
      <c r="O22" s="38">
        <f t="shared" ref="O22:O58" si="12">S21</f>
        <v>0</v>
      </c>
      <c r="P22" s="38" t="e">
        <f t="shared" si="9"/>
        <v>#VALUE!</v>
      </c>
      <c r="Q22" s="38" t="e">
        <f t="shared" ref="Q22:Q58" si="13">+T21+P22</f>
        <v>#VALUE!</v>
      </c>
      <c r="R22" s="38" t="e">
        <f t="shared" ref="R22:R58" si="14">+O22+Q22</f>
        <v>#VALUE!</v>
      </c>
      <c r="S22" s="38">
        <f t="shared" si="0"/>
        <v>0</v>
      </c>
      <c r="T22" s="38" t="e">
        <f t="shared" si="1"/>
        <v>#VALUE!</v>
      </c>
    </row>
    <row r="23" spans="1:20" ht="20.25" customHeight="1" x14ac:dyDescent="0.3">
      <c r="A23" s="62"/>
      <c r="B23" s="6" t="str">
        <f t="shared" si="2"/>
        <v/>
      </c>
      <c r="C23" s="117" t="str">
        <f t="shared" si="6"/>
        <v/>
      </c>
      <c r="D23" s="7" t="str">
        <f t="shared" si="3"/>
        <v/>
      </c>
      <c r="E23" s="7" t="str">
        <f t="shared" si="10"/>
        <v/>
      </c>
      <c r="F23" s="7" t="str">
        <f t="shared" si="7"/>
        <v/>
      </c>
      <c r="G23" s="8" t="str">
        <f t="shared" si="11"/>
        <v/>
      </c>
      <c r="H23" s="8" t="str">
        <f t="shared" si="4"/>
        <v/>
      </c>
      <c r="I23" s="9" t="str">
        <f t="shared" si="5"/>
        <v/>
      </c>
      <c r="J23" s="66"/>
      <c r="K23" s="11"/>
      <c r="L23" s="11"/>
      <c r="M23" s="6" t="str">
        <f t="shared" si="8"/>
        <v/>
      </c>
      <c r="N23" s="40" t="s">
        <v>58</v>
      </c>
      <c r="O23" s="38">
        <f t="shared" si="12"/>
        <v>0</v>
      </c>
      <c r="P23" s="38" t="e">
        <f t="shared" si="9"/>
        <v>#VALUE!</v>
      </c>
      <c r="Q23" s="38" t="e">
        <f t="shared" si="13"/>
        <v>#VALUE!</v>
      </c>
      <c r="R23" s="38" t="e">
        <f t="shared" si="14"/>
        <v>#VALUE!</v>
      </c>
      <c r="S23" s="38">
        <f t="shared" si="0"/>
        <v>0</v>
      </c>
      <c r="T23" s="38" t="e">
        <f t="shared" si="1"/>
        <v>#VALUE!</v>
      </c>
    </row>
    <row r="24" spans="1:20" ht="20.25" customHeight="1" x14ac:dyDescent="0.3">
      <c r="A24" s="62"/>
      <c r="B24" s="6" t="str">
        <f t="shared" si="2"/>
        <v/>
      </c>
      <c r="C24" s="117" t="str">
        <f t="shared" si="6"/>
        <v/>
      </c>
      <c r="D24" s="7" t="str">
        <f t="shared" si="3"/>
        <v/>
      </c>
      <c r="E24" s="7" t="str">
        <f t="shared" si="10"/>
        <v/>
      </c>
      <c r="F24" s="7" t="str">
        <f t="shared" si="7"/>
        <v/>
      </c>
      <c r="G24" s="8" t="str">
        <f t="shared" si="11"/>
        <v/>
      </c>
      <c r="H24" s="8" t="str">
        <f t="shared" si="4"/>
        <v/>
      </c>
      <c r="I24" s="9" t="str">
        <f t="shared" si="5"/>
        <v/>
      </c>
      <c r="J24" s="66"/>
      <c r="K24" s="11"/>
      <c r="L24" s="11"/>
      <c r="M24" s="6" t="str">
        <f t="shared" si="8"/>
        <v/>
      </c>
      <c r="N24" s="40" t="s">
        <v>59</v>
      </c>
      <c r="O24" s="38">
        <f t="shared" si="12"/>
        <v>0</v>
      </c>
      <c r="P24" s="38" t="e">
        <f t="shared" si="9"/>
        <v>#VALUE!</v>
      </c>
      <c r="Q24" s="38" t="e">
        <f t="shared" si="13"/>
        <v>#VALUE!</v>
      </c>
      <c r="R24" s="38" t="e">
        <f t="shared" si="14"/>
        <v>#VALUE!</v>
      </c>
      <c r="S24" s="38">
        <f t="shared" si="0"/>
        <v>0</v>
      </c>
      <c r="T24" s="38" t="e">
        <f t="shared" si="1"/>
        <v>#VALUE!</v>
      </c>
    </row>
    <row r="25" spans="1:20" ht="20.25" customHeight="1" x14ac:dyDescent="0.3">
      <c r="A25" s="62"/>
      <c r="B25" s="6" t="str">
        <f t="shared" si="2"/>
        <v/>
      </c>
      <c r="C25" s="117" t="str">
        <f t="shared" si="6"/>
        <v/>
      </c>
      <c r="D25" s="7" t="str">
        <f t="shared" si="3"/>
        <v/>
      </c>
      <c r="E25" s="7" t="str">
        <f t="shared" si="10"/>
        <v/>
      </c>
      <c r="F25" s="7" t="str">
        <f t="shared" si="7"/>
        <v/>
      </c>
      <c r="G25" s="8" t="str">
        <f t="shared" ref="G25:G58" si="15">IF(B25="","",ROUNDDOWN(E25*14%,2))</f>
        <v/>
      </c>
      <c r="H25" s="8" t="str">
        <f t="shared" ref="H25:H58" si="16">IF(B25="","",ROUNDDOWN(G25*10%,2))</f>
        <v/>
      </c>
      <c r="I25" s="9" t="str">
        <f t="shared" ref="I25:I58" si="17">IF(B25="","",D25-P25-G25-H25)</f>
        <v/>
      </c>
      <c r="J25" s="66"/>
      <c r="K25" s="11"/>
      <c r="L25" s="11"/>
      <c r="M25" s="6" t="str">
        <f t="shared" si="8"/>
        <v/>
      </c>
      <c r="N25" s="40" t="s">
        <v>60</v>
      </c>
      <c r="O25" s="38">
        <f t="shared" si="12"/>
        <v>0</v>
      </c>
      <c r="P25" s="38" t="e">
        <f t="shared" si="9"/>
        <v>#VALUE!</v>
      </c>
      <c r="Q25" s="38" t="e">
        <f t="shared" si="13"/>
        <v>#VALUE!</v>
      </c>
      <c r="R25" s="38" t="e">
        <f t="shared" si="14"/>
        <v>#VALUE!</v>
      </c>
      <c r="S25" s="38">
        <f t="shared" si="0"/>
        <v>0</v>
      </c>
      <c r="T25" s="38" t="e">
        <f t="shared" si="1"/>
        <v>#VALUE!</v>
      </c>
    </row>
    <row r="26" spans="1:20" ht="20.25" hidden="1" customHeight="1" x14ac:dyDescent="0.3">
      <c r="A26" s="62"/>
      <c r="B26" s="6" t="str">
        <f t="shared" si="2"/>
        <v/>
      </c>
      <c r="C26" s="117" t="str">
        <f t="shared" si="6"/>
        <v/>
      </c>
      <c r="D26" s="7" t="str">
        <f t="shared" si="3"/>
        <v/>
      </c>
      <c r="E26" s="7" t="str">
        <f t="shared" si="10"/>
        <v/>
      </c>
      <c r="F26" s="7" t="str">
        <f t="shared" si="7"/>
        <v/>
      </c>
      <c r="G26" s="8" t="str">
        <f t="shared" si="15"/>
        <v/>
      </c>
      <c r="H26" s="8" t="str">
        <f t="shared" si="16"/>
        <v/>
      </c>
      <c r="I26" s="9" t="str">
        <f t="shared" si="17"/>
        <v/>
      </c>
      <c r="J26" s="66"/>
      <c r="K26" s="11"/>
      <c r="L26" s="11"/>
      <c r="M26" s="6" t="str">
        <f t="shared" si="8"/>
        <v/>
      </c>
      <c r="N26" s="40" t="s">
        <v>61</v>
      </c>
      <c r="O26" s="38">
        <f t="shared" si="12"/>
        <v>0</v>
      </c>
      <c r="P26" s="38" t="e">
        <f t="shared" si="9"/>
        <v>#VALUE!</v>
      </c>
      <c r="Q26" s="38" t="e">
        <f t="shared" si="13"/>
        <v>#VALUE!</v>
      </c>
      <c r="R26" s="38" t="e">
        <f t="shared" si="14"/>
        <v>#VALUE!</v>
      </c>
      <c r="S26" s="38">
        <f t="shared" si="0"/>
        <v>0</v>
      </c>
      <c r="T26" s="38" t="e">
        <f t="shared" si="1"/>
        <v>#VALUE!</v>
      </c>
    </row>
    <row r="27" spans="1:20" ht="20.25" hidden="1" customHeight="1" x14ac:dyDescent="0.3">
      <c r="A27" s="62"/>
      <c r="B27" s="6" t="str">
        <f t="shared" si="2"/>
        <v/>
      </c>
      <c r="C27" s="117" t="str">
        <f t="shared" si="6"/>
        <v/>
      </c>
      <c r="D27" s="7" t="str">
        <f t="shared" si="3"/>
        <v/>
      </c>
      <c r="E27" s="7" t="str">
        <f t="shared" si="10"/>
        <v/>
      </c>
      <c r="F27" s="7" t="str">
        <f t="shared" si="7"/>
        <v/>
      </c>
      <c r="G27" s="8" t="str">
        <f t="shared" si="15"/>
        <v/>
      </c>
      <c r="H27" s="8" t="str">
        <f t="shared" si="16"/>
        <v/>
      </c>
      <c r="I27" s="9" t="str">
        <f t="shared" si="17"/>
        <v/>
      </c>
      <c r="J27" s="66"/>
      <c r="K27" s="11"/>
      <c r="L27" s="11"/>
      <c r="M27" s="6" t="str">
        <f t="shared" si="8"/>
        <v/>
      </c>
      <c r="N27" s="40" t="s">
        <v>62</v>
      </c>
      <c r="O27" s="38">
        <f t="shared" si="12"/>
        <v>0</v>
      </c>
      <c r="P27" s="38" t="e">
        <f t="shared" si="9"/>
        <v>#VALUE!</v>
      </c>
      <c r="Q27" s="38" t="e">
        <f t="shared" si="13"/>
        <v>#VALUE!</v>
      </c>
      <c r="R27" s="38" t="e">
        <f t="shared" si="14"/>
        <v>#VALUE!</v>
      </c>
      <c r="S27" s="38">
        <f t="shared" si="0"/>
        <v>0</v>
      </c>
      <c r="T27" s="38" t="e">
        <f t="shared" si="1"/>
        <v>#VALUE!</v>
      </c>
    </row>
    <row r="28" spans="1:20" ht="20.25" hidden="1" customHeight="1" x14ac:dyDescent="0.3">
      <c r="A28" s="62"/>
      <c r="B28" s="6" t="str">
        <f t="shared" si="2"/>
        <v/>
      </c>
      <c r="C28" s="117" t="str">
        <f t="shared" si="6"/>
        <v/>
      </c>
      <c r="D28" s="7" t="str">
        <f t="shared" si="3"/>
        <v/>
      </c>
      <c r="E28" s="7" t="str">
        <f t="shared" si="10"/>
        <v/>
      </c>
      <c r="F28" s="7" t="str">
        <f t="shared" si="7"/>
        <v/>
      </c>
      <c r="G28" s="8" t="str">
        <f t="shared" si="15"/>
        <v/>
      </c>
      <c r="H28" s="8" t="str">
        <f t="shared" si="16"/>
        <v/>
      </c>
      <c r="I28" s="9" t="str">
        <f t="shared" si="17"/>
        <v/>
      </c>
      <c r="J28" s="66"/>
      <c r="K28" s="11"/>
      <c r="L28" s="11"/>
      <c r="M28" s="6" t="str">
        <f t="shared" si="8"/>
        <v/>
      </c>
      <c r="N28" s="40" t="s">
        <v>63</v>
      </c>
      <c r="O28" s="38">
        <f t="shared" si="12"/>
        <v>0</v>
      </c>
      <c r="P28" s="38" t="e">
        <f t="shared" si="9"/>
        <v>#VALUE!</v>
      </c>
      <c r="Q28" s="38" t="e">
        <f t="shared" si="13"/>
        <v>#VALUE!</v>
      </c>
      <c r="R28" s="38" t="e">
        <f t="shared" si="14"/>
        <v>#VALUE!</v>
      </c>
      <c r="S28" s="38">
        <f t="shared" si="0"/>
        <v>0</v>
      </c>
      <c r="T28" s="38" t="e">
        <f t="shared" si="1"/>
        <v>#VALUE!</v>
      </c>
    </row>
    <row r="29" spans="1:20" ht="20.25" hidden="1" customHeight="1" x14ac:dyDescent="0.3">
      <c r="A29" s="62"/>
      <c r="B29" s="6" t="str">
        <f t="shared" si="2"/>
        <v/>
      </c>
      <c r="C29" s="117" t="str">
        <f t="shared" si="6"/>
        <v/>
      </c>
      <c r="D29" s="7" t="str">
        <f t="shared" si="3"/>
        <v/>
      </c>
      <c r="E29" s="7" t="str">
        <f t="shared" si="10"/>
        <v/>
      </c>
      <c r="F29" s="7" t="str">
        <f t="shared" si="7"/>
        <v/>
      </c>
      <c r="G29" s="8" t="str">
        <f t="shared" si="15"/>
        <v/>
      </c>
      <c r="H29" s="8" t="str">
        <f t="shared" si="16"/>
        <v/>
      </c>
      <c r="I29" s="9" t="str">
        <f t="shared" si="17"/>
        <v/>
      </c>
      <c r="J29" s="66"/>
      <c r="K29" s="11"/>
      <c r="L29" s="11"/>
      <c r="M29" s="6" t="str">
        <f t="shared" si="8"/>
        <v/>
      </c>
      <c r="N29" s="40" t="s">
        <v>64</v>
      </c>
      <c r="O29" s="38">
        <f t="shared" si="12"/>
        <v>0</v>
      </c>
      <c r="P29" s="38" t="e">
        <f t="shared" si="9"/>
        <v>#VALUE!</v>
      </c>
      <c r="Q29" s="38" t="e">
        <f t="shared" si="13"/>
        <v>#VALUE!</v>
      </c>
      <c r="R29" s="38" t="e">
        <f t="shared" si="14"/>
        <v>#VALUE!</v>
      </c>
      <c r="S29" s="38">
        <f t="shared" si="0"/>
        <v>0</v>
      </c>
      <c r="T29" s="38" t="e">
        <f t="shared" si="1"/>
        <v>#VALUE!</v>
      </c>
    </row>
    <row r="30" spans="1:20" ht="20.25" hidden="1" customHeight="1" x14ac:dyDescent="0.3">
      <c r="A30" s="62"/>
      <c r="B30" s="6" t="str">
        <f t="shared" si="2"/>
        <v/>
      </c>
      <c r="C30" s="117" t="str">
        <f t="shared" si="6"/>
        <v/>
      </c>
      <c r="D30" s="7" t="str">
        <f t="shared" si="3"/>
        <v/>
      </c>
      <c r="E30" s="7" t="str">
        <f t="shared" si="10"/>
        <v/>
      </c>
      <c r="F30" s="7" t="str">
        <f t="shared" si="7"/>
        <v/>
      </c>
      <c r="G30" s="8" t="str">
        <f t="shared" si="15"/>
        <v/>
      </c>
      <c r="H30" s="8" t="str">
        <f t="shared" si="16"/>
        <v/>
      </c>
      <c r="I30" s="9" t="str">
        <f t="shared" si="17"/>
        <v/>
      </c>
      <c r="J30" s="66"/>
      <c r="K30" s="11"/>
      <c r="L30" s="11"/>
      <c r="M30" s="6" t="str">
        <f t="shared" si="8"/>
        <v/>
      </c>
      <c r="N30" s="40" t="s">
        <v>65</v>
      </c>
      <c r="O30" s="38">
        <f t="shared" si="12"/>
        <v>0</v>
      </c>
      <c r="P30" s="38" t="e">
        <f t="shared" si="9"/>
        <v>#VALUE!</v>
      </c>
      <c r="Q30" s="38" t="e">
        <f t="shared" si="13"/>
        <v>#VALUE!</v>
      </c>
      <c r="R30" s="38" t="e">
        <f t="shared" si="14"/>
        <v>#VALUE!</v>
      </c>
      <c r="S30" s="38">
        <f t="shared" si="0"/>
        <v>0</v>
      </c>
      <c r="T30" s="38" t="e">
        <f t="shared" si="1"/>
        <v>#VALUE!</v>
      </c>
    </row>
    <row r="31" spans="1:20" ht="20.25" hidden="1" customHeight="1" x14ac:dyDescent="0.3">
      <c r="A31" s="62"/>
      <c r="B31" s="6" t="str">
        <f t="shared" si="2"/>
        <v/>
      </c>
      <c r="C31" s="117" t="str">
        <f t="shared" si="6"/>
        <v/>
      </c>
      <c r="D31" s="7" t="str">
        <f t="shared" si="3"/>
        <v/>
      </c>
      <c r="E31" s="7" t="str">
        <f t="shared" si="10"/>
        <v/>
      </c>
      <c r="F31" s="7" t="str">
        <f t="shared" si="7"/>
        <v/>
      </c>
      <c r="G31" s="8" t="str">
        <f t="shared" si="15"/>
        <v/>
      </c>
      <c r="H31" s="8" t="str">
        <f t="shared" si="16"/>
        <v/>
      </c>
      <c r="I31" s="9" t="str">
        <f t="shared" si="17"/>
        <v/>
      </c>
      <c r="J31" s="66"/>
      <c r="K31" s="11"/>
      <c r="L31" s="11"/>
      <c r="M31" s="6" t="str">
        <f t="shared" si="8"/>
        <v/>
      </c>
      <c r="N31" s="40" t="s">
        <v>66</v>
      </c>
      <c r="O31" s="38">
        <f t="shared" si="12"/>
        <v>0</v>
      </c>
      <c r="P31" s="38" t="e">
        <f t="shared" si="9"/>
        <v>#VALUE!</v>
      </c>
      <c r="Q31" s="38" t="e">
        <f t="shared" si="13"/>
        <v>#VALUE!</v>
      </c>
      <c r="R31" s="38" t="e">
        <f t="shared" si="14"/>
        <v>#VALUE!</v>
      </c>
      <c r="S31" s="38">
        <f t="shared" si="0"/>
        <v>0</v>
      </c>
      <c r="T31" s="38" t="e">
        <f t="shared" si="1"/>
        <v>#VALUE!</v>
      </c>
    </row>
    <row r="32" spans="1:20" ht="20.25" hidden="1" customHeight="1" x14ac:dyDescent="0.3">
      <c r="A32" s="62"/>
      <c r="B32" s="6" t="str">
        <f t="shared" si="2"/>
        <v/>
      </c>
      <c r="C32" s="117" t="str">
        <f t="shared" si="6"/>
        <v/>
      </c>
      <c r="D32" s="7" t="str">
        <f t="shared" si="3"/>
        <v/>
      </c>
      <c r="E32" s="7" t="str">
        <f t="shared" si="10"/>
        <v/>
      </c>
      <c r="F32" s="7" t="str">
        <f t="shared" si="7"/>
        <v/>
      </c>
      <c r="G32" s="8" t="str">
        <f t="shared" si="15"/>
        <v/>
      </c>
      <c r="H32" s="8" t="str">
        <f t="shared" si="16"/>
        <v/>
      </c>
      <c r="I32" s="9" t="str">
        <f t="shared" si="17"/>
        <v/>
      </c>
      <c r="J32" s="66"/>
      <c r="K32" s="11"/>
      <c r="L32" s="11"/>
      <c r="M32" s="6" t="str">
        <f t="shared" si="8"/>
        <v/>
      </c>
      <c r="N32" s="40" t="s">
        <v>67</v>
      </c>
      <c r="O32" s="38">
        <f t="shared" si="12"/>
        <v>0</v>
      </c>
      <c r="P32" s="38" t="e">
        <f t="shared" si="9"/>
        <v>#VALUE!</v>
      </c>
      <c r="Q32" s="38" t="e">
        <f t="shared" si="13"/>
        <v>#VALUE!</v>
      </c>
      <c r="R32" s="38" t="e">
        <f t="shared" si="14"/>
        <v>#VALUE!</v>
      </c>
      <c r="S32" s="38">
        <f t="shared" si="0"/>
        <v>0</v>
      </c>
      <c r="T32" s="38" t="e">
        <f t="shared" si="1"/>
        <v>#VALUE!</v>
      </c>
    </row>
    <row r="33" spans="1:20" ht="20.25" hidden="1" customHeight="1" x14ac:dyDescent="0.3">
      <c r="A33" s="62"/>
      <c r="B33" s="6" t="str">
        <f t="shared" si="2"/>
        <v/>
      </c>
      <c r="C33" s="117" t="str">
        <f t="shared" si="6"/>
        <v/>
      </c>
      <c r="D33" s="7" t="str">
        <f t="shared" si="3"/>
        <v/>
      </c>
      <c r="E33" s="7" t="str">
        <f t="shared" si="10"/>
        <v/>
      </c>
      <c r="F33" s="7" t="str">
        <f t="shared" si="7"/>
        <v/>
      </c>
      <c r="G33" s="8" t="str">
        <f t="shared" si="15"/>
        <v/>
      </c>
      <c r="H33" s="8" t="str">
        <f t="shared" si="16"/>
        <v/>
      </c>
      <c r="I33" s="9" t="str">
        <f t="shared" si="17"/>
        <v/>
      </c>
      <c r="J33" s="66"/>
      <c r="K33" s="11"/>
      <c r="L33" s="11"/>
      <c r="M33" s="6" t="str">
        <f t="shared" si="8"/>
        <v/>
      </c>
      <c r="N33" s="40" t="s">
        <v>68</v>
      </c>
      <c r="O33" s="38">
        <f t="shared" si="12"/>
        <v>0</v>
      </c>
      <c r="P33" s="38" t="e">
        <f t="shared" si="9"/>
        <v>#VALUE!</v>
      </c>
      <c r="Q33" s="38" t="e">
        <f t="shared" si="13"/>
        <v>#VALUE!</v>
      </c>
      <c r="R33" s="38" t="e">
        <f t="shared" si="14"/>
        <v>#VALUE!</v>
      </c>
      <c r="S33" s="38">
        <f t="shared" si="0"/>
        <v>0</v>
      </c>
      <c r="T33" s="38" t="e">
        <f t="shared" si="1"/>
        <v>#VALUE!</v>
      </c>
    </row>
    <row r="34" spans="1:20" ht="20.25" hidden="1" customHeight="1" x14ac:dyDescent="0.3">
      <c r="A34" s="62"/>
      <c r="B34" s="6" t="str">
        <f t="shared" si="2"/>
        <v/>
      </c>
      <c r="C34" s="117" t="str">
        <f t="shared" si="6"/>
        <v/>
      </c>
      <c r="D34" s="7" t="str">
        <f t="shared" si="3"/>
        <v/>
      </c>
      <c r="E34" s="7" t="str">
        <f t="shared" si="10"/>
        <v/>
      </c>
      <c r="F34" s="7" t="str">
        <f t="shared" si="7"/>
        <v/>
      </c>
      <c r="G34" s="8" t="str">
        <f t="shared" si="15"/>
        <v/>
      </c>
      <c r="H34" s="8" t="str">
        <f t="shared" si="16"/>
        <v/>
      </c>
      <c r="I34" s="9" t="str">
        <f t="shared" si="17"/>
        <v/>
      </c>
      <c r="J34" s="66"/>
      <c r="K34" s="11"/>
      <c r="L34" s="11"/>
      <c r="M34" s="6" t="str">
        <f t="shared" si="8"/>
        <v/>
      </c>
      <c r="N34" s="40" t="s">
        <v>69</v>
      </c>
      <c r="O34" s="38">
        <f t="shared" si="12"/>
        <v>0</v>
      </c>
      <c r="P34" s="38" t="e">
        <f t="shared" si="9"/>
        <v>#VALUE!</v>
      </c>
      <c r="Q34" s="38" t="e">
        <f t="shared" si="13"/>
        <v>#VALUE!</v>
      </c>
      <c r="R34" s="38" t="e">
        <f t="shared" si="14"/>
        <v>#VALUE!</v>
      </c>
      <c r="S34" s="38">
        <f t="shared" si="0"/>
        <v>0</v>
      </c>
      <c r="T34" s="38" t="e">
        <f t="shared" si="1"/>
        <v>#VALUE!</v>
      </c>
    </row>
    <row r="35" spans="1:20" ht="20.25" hidden="1" customHeight="1" x14ac:dyDescent="0.3">
      <c r="A35" s="62"/>
      <c r="B35" s="6" t="str">
        <f t="shared" si="2"/>
        <v/>
      </c>
      <c r="C35" s="117" t="str">
        <f t="shared" si="6"/>
        <v/>
      </c>
      <c r="D35" s="7" t="str">
        <f t="shared" si="3"/>
        <v/>
      </c>
      <c r="E35" s="7" t="str">
        <f t="shared" si="10"/>
        <v/>
      </c>
      <c r="F35" s="7" t="str">
        <f t="shared" si="7"/>
        <v/>
      </c>
      <c r="G35" s="8" t="str">
        <f t="shared" si="15"/>
        <v/>
      </c>
      <c r="H35" s="8" t="str">
        <f t="shared" si="16"/>
        <v/>
      </c>
      <c r="I35" s="9" t="str">
        <f t="shared" si="17"/>
        <v/>
      </c>
      <c r="J35" s="66"/>
      <c r="K35" s="11"/>
      <c r="L35" s="11"/>
      <c r="M35" s="6" t="str">
        <f t="shared" si="8"/>
        <v/>
      </c>
      <c r="N35" s="40" t="s">
        <v>70</v>
      </c>
      <c r="O35" s="38">
        <f t="shared" si="12"/>
        <v>0</v>
      </c>
      <c r="P35" s="38" t="e">
        <f t="shared" si="9"/>
        <v>#VALUE!</v>
      </c>
      <c r="Q35" s="38" t="e">
        <f t="shared" si="13"/>
        <v>#VALUE!</v>
      </c>
      <c r="R35" s="38" t="e">
        <f t="shared" si="14"/>
        <v>#VALUE!</v>
      </c>
      <c r="S35" s="38">
        <f t="shared" si="0"/>
        <v>0</v>
      </c>
      <c r="T35" s="38" t="e">
        <f t="shared" si="1"/>
        <v>#VALUE!</v>
      </c>
    </row>
    <row r="36" spans="1:20" ht="20.25" hidden="1" customHeight="1" x14ac:dyDescent="0.3">
      <c r="A36" s="62"/>
      <c r="B36" s="6" t="str">
        <f t="shared" si="2"/>
        <v/>
      </c>
      <c r="C36" s="117" t="str">
        <f t="shared" si="6"/>
        <v/>
      </c>
      <c r="D36" s="7" t="str">
        <f t="shared" si="3"/>
        <v/>
      </c>
      <c r="E36" s="7" t="str">
        <f t="shared" si="10"/>
        <v/>
      </c>
      <c r="F36" s="7" t="str">
        <f t="shared" si="7"/>
        <v/>
      </c>
      <c r="G36" s="8" t="str">
        <f t="shared" si="15"/>
        <v/>
      </c>
      <c r="H36" s="8" t="str">
        <f t="shared" si="16"/>
        <v/>
      </c>
      <c r="I36" s="9" t="str">
        <f t="shared" si="17"/>
        <v/>
      </c>
      <c r="J36" s="66"/>
      <c r="K36" s="11"/>
      <c r="L36" s="11"/>
      <c r="M36" s="6" t="str">
        <f t="shared" si="8"/>
        <v/>
      </c>
      <c r="N36" s="40" t="s">
        <v>71</v>
      </c>
      <c r="O36" s="38">
        <f t="shared" si="12"/>
        <v>0</v>
      </c>
      <c r="P36" s="38" t="e">
        <f t="shared" si="9"/>
        <v>#VALUE!</v>
      </c>
      <c r="Q36" s="38" t="e">
        <f t="shared" si="13"/>
        <v>#VALUE!</v>
      </c>
      <c r="R36" s="38" t="e">
        <f t="shared" si="14"/>
        <v>#VALUE!</v>
      </c>
      <c r="S36" s="38">
        <f t="shared" si="0"/>
        <v>0</v>
      </c>
      <c r="T36" s="38" t="e">
        <f t="shared" si="1"/>
        <v>#VALUE!</v>
      </c>
    </row>
    <row r="37" spans="1:20" ht="20.25" hidden="1" customHeight="1" x14ac:dyDescent="0.3">
      <c r="A37" s="62"/>
      <c r="B37" s="6" t="str">
        <f t="shared" si="2"/>
        <v/>
      </c>
      <c r="C37" s="117" t="str">
        <f t="shared" si="6"/>
        <v/>
      </c>
      <c r="D37" s="7" t="str">
        <f t="shared" si="3"/>
        <v/>
      </c>
      <c r="E37" s="7" t="str">
        <f t="shared" si="10"/>
        <v/>
      </c>
      <c r="F37" s="7" t="str">
        <f t="shared" si="7"/>
        <v/>
      </c>
      <c r="G37" s="8" t="str">
        <f t="shared" si="15"/>
        <v/>
      </c>
      <c r="H37" s="8" t="str">
        <f t="shared" si="16"/>
        <v/>
      </c>
      <c r="I37" s="9" t="str">
        <f t="shared" si="17"/>
        <v/>
      </c>
      <c r="J37" s="66"/>
      <c r="K37" s="11"/>
      <c r="L37" s="11"/>
      <c r="M37" s="6" t="str">
        <f t="shared" si="8"/>
        <v/>
      </c>
      <c r="N37" s="40" t="s">
        <v>72</v>
      </c>
      <c r="O37" s="38">
        <f t="shared" si="12"/>
        <v>0</v>
      </c>
      <c r="P37" s="38" t="e">
        <f t="shared" si="9"/>
        <v>#VALUE!</v>
      </c>
      <c r="Q37" s="38" t="e">
        <f t="shared" si="13"/>
        <v>#VALUE!</v>
      </c>
      <c r="R37" s="38" t="e">
        <f t="shared" si="14"/>
        <v>#VALUE!</v>
      </c>
      <c r="S37" s="38">
        <f t="shared" si="0"/>
        <v>0</v>
      </c>
      <c r="T37" s="38" t="e">
        <f t="shared" si="1"/>
        <v>#VALUE!</v>
      </c>
    </row>
    <row r="38" spans="1:20" ht="20.25" hidden="1" customHeight="1" x14ac:dyDescent="0.3">
      <c r="A38" s="62"/>
      <c r="B38" s="6" t="str">
        <f t="shared" si="2"/>
        <v/>
      </c>
      <c r="C38" s="117" t="str">
        <f t="shared" si="6"/>
        <v/>
      </c>
      <c r="D38" s="7" t="str">
        <f t="shared" si="3"/>
        <v/>
      </c>
      <c r="E38" s="7" t="str">
        <f t="shared" si="10"/>
        <v/>
      </c>
      <c r="F38" s="7" t="str">
        <f t="shared" si="7"/>
        <v/>
      </c>
      <c r="G38" s="8" t="str">
        <f t="shared" si="15"/>
        <v/>
      </c>
      <c r="H38" s="8" t="str">
        <f t="shared" si="16"/>
        <v/>
      </c>
      <c r="I38" s="9" t="str">
        <f t="shared" si="17"/>
        <v/>
      </c>
      <c r="J38" s="66"/>
      <c r="K38" s="11"/>
      <c r="L38" s="11"/>
      <c r="M38" s="6" t="str">
        <f t="shared" si="8"/>
        <v/>
      </c>
      <c r="N38" s="40" t="s">
        <v>73</v>
      </c>
      <c r="O38" s="38">
        <f t="shared" si="12"/>
        <v>0</v>
      </c>
      <c r="P38" s="38" t="e">
        <f t="shared" si="9"/>
        <v>#VALUE!</v>
      </c>
      <c r="Q38" s="38" t="e">
        <f t="shared" si="13"/>
        <v>#VALUE!</v>
      </c>
      <c r="R38" s="38" t="e">
        <f t="shared" si="14"/>
        <v>#VALUE!</v>
      </c>
      <c r="S38" s="38">
        <f t="shared" si="0"/>
        <v>0</v>
      </c>
      <c r="T38" s="38" t="e">
        <f t="shared" si="1"/>
        <v>#VALUE!</v>
      </c>
    </row>
    <row r="39" spans="1:20" ht="20.25" hidden="1" customHeight="1" x14ac:dyDescent="0.3">
      <c r="A39" s="62"/>
      <c r="B39" s="6" t="str">
        <f t="shared" si="2"/>
        <v/>
      </c>
      <c r="C39" s="117" t="str">
        <f t="shared" si="6"/>
        <v/>
      </c>
      <c r="D39" s="7" t="str">
        <f t="shared" si="3"/>
        <v/>
      </c>
      <c r="E39" s="7" t="str">
        <f t="shared" si="10"/>
        <v/>
      </c>
      <c r="F39" s="7" t="str">
        <f t="shared" si="7"/>
        <v/>
      </c>
      <c r="G39" s="8" t="str">
        <f t="shared" si="15"/>
        <v/>
      </c>
      <c r="H39" s="8" t="str">
        <f t="shared" si="16"/>
        <v/>
      </c>
      <c r="I39" s="9" t="str">
        <f t="shared" si="17"/>
        <v/>
      </c>
      <c r="J39" s="66"/>
      <c r="K39" s="11"/>
      <c r="L39" s="11"/>
      <c r="M39" s="6" t="str">
        <f t="shared" si="8"/>
        <v/>
      </c>
      <c r="N39" s="40" t="s">
        <v>74</v>
      </c>
      <c r="O39" s="38">
        <f t="shared" si="12"/>
        <v>0</v>
      </c>
      <c r="P39" s="38" t="e">
        <f t="shared" si="9"/>
        <v>#VALUE!</v>
      </c>
      <c r="Q39" s="38" t="e">
        <f t="shared" si="13"/>
        <v>#VALUE!</v>
      </c>
      <c r="R39" s="38" t="e">
        <f t="shared" si="14"/>
        <v>#VALUE!</v>
      </c>
      <c r="S39" s="38">
        <f t="shared" si="0"/>
        <v>0</v>
      </c>
      <c r="T39" s="38" t="e">
        <f t="shared" si="1"/>
        <v>#VALUE!</v>
      </c>
    </row>
    <row r="40" spans="1:20" ht="20.25" hidden="1" customHeight="1" x14ac:dyDescent="0.3">
      <c r="A40" s="62"/>
      <c r="B40" s="6" t="str">
        <f t="shared" si="2"/>
        <v/>
      </c>
      <c r="C40" s="117" t="str">
        <f t="shared" si="6"/>
        <v/>
      </c>
      <c r="D40" s="7" t="str">
        <f t="shared" si="3"/>
        <v/>
      </c>
      <c r="E40" s="7" t="str">
        <f t="shared" si="10"/>
        <v/>
      </c>
      <c r="F40" s="7" t="str">
        <f t="shared" si="7"/>
        <v/>
      </c>
      <c r="G40" s="8" t="str">
        <f t="shared" si="15"/>
        <v/>
      </c>
      <c r="H40" s="8" t="str">
        <f t="shared" si="16"/>
        <v/>
      </c>
      <c r="I40" s="9" t="str">
        <f t="shared" si="17"/>
        <v/>
      </c>
      <c r="J40" s="66"/>
      <c r="K40" s="11"/>
      <c r="L40" s="11"/>
      <c r="M40" s="6" t="str">
        <f t="shared" si="8"/>
        <v/>
      </c>
      <c r="N40" s="40" t="s">
        <v>75</v>
      </c>
      <c r="O40" s="38">
        <f t="shared" si="12"/>
        <v>0</v>
      </c>
      <c r="P40" s="38" t="e">
        <f t="shared" si="9"/>
        <v>#VALUE!</v>
      </c>
      <c r="Q40" s="38" t="e">
        <f t="shared" si="13"/>
        <v>#VALUE!</v>
      </c>
      <c r="R40" s="38" t="e">
        <f t="shared" si="14"/>
        <v>#VALUE!</v>
      </c>
      <c r="S40" s="38">
        <f t="shared" si="0"/>
        <v>0</v>
      </c>
      <c r="T40" s="38" t="e">
        <f t="shared" si="1"/>
        <v>#VALUE!</v>
      </c>
    </row>
    <row r="41" spans="1:20" ht="20.25" hidden="1" customHeight="1" x14ac:dyDescent="0.3">
      <c r="A41" s="62"/>
      <c r="B41" s="6" t="str">
        <f t="shared" si="2"/>
        <v/>
      </c>
      <c r="C41" s="117" t="str">
        <f t="shared" si="6"/>
        <v/>
      </c>
      <c r="D41" s="7" t="str">
        <f t="shared" si="3"/>
        <v/>
      </c>
      <c r="E41" s="7" t="str">
        <f t="shared" si="10"/>
        <v/>
      </c>
      <c r="F41" s="7" t="str">
        <f t="shared" si="7"/>
        <v/>
      </c>
      <c r="G41" s="8" t="str">
        <f t="shared" si="15"/>
        <v/>
      </c>
      <c r="H41" s="8" t="str">
        <f t="shared" si="16"/>
        <v/>
      </c>
      <c r="I41" s="9" t="str">
        <f t="shared" si="17"/>
        <v/>
      </c>
      <c r="J41" s="66"/>
      <c r="K41" s="11"/>
      <c r="L41" s="11"/>
      <c r="M41" s="6" t="str">
        <f t="shared" si="8"/>
        <v/>
      </c>
      <c r="N41" s="40" t="s">
        <v>76</v>
      </c>
      <c r="O41" s="38">
        <f t="shared" si="12"/>
        <v>0</v>
      </c>
      <c r="P41" s="38" t="e">
        <f t="shared" si="9"/>
        <v>#VALUE!</v>
      </c>
      <c r="Q41" s="38" t="e">
        <f t="shared" si="13"/>
        <v>#VALUE!</v>
      </c>
      <c r="R41" s="38" t="e">
        <f t="shared" si="14"/>
        <v>#VALUE!</v>
      </c>
      <c r="S41" s="38">
        <f t="shared" si="0"/>
        <v>0</v>
      </c>
      <c r="T41" s="38" t="e">
        <f t="shared" si="1"/>
        <v>#VALUE!</v>
      </c>
    </row>
    <row r="42" spans="1:20" ht="20.25" hidden="1" customHeight="1" x14ac:dyDescent="0.3">
      <c r="A42" s="62"/>
      <c r="B42" s="6" t="str">
        <f t="shared" si="2"/>
        <v/>
      </c>
      <c r="C42" s="117" t="str">
        <f t="shared" si="6"/>
        <v/>
      </c>
      <c r="D42" s="7" t="str">
        <f t="shared" si="3"/>
        <v/>
      </c>
      <c r="E42" s="7" t="str">
        <f t="shared" si="10"/>
        <v/>
      </c>
      <c r="F42" s="7" t="str">
        <f t="shared" si="7"/>
        <v/>
      </c>
      <c r="G42" s="8" t="str">
        <f t="shared" si="15"/>
        <v/>
      </c>
      <c r="H42" s="8" t="str">
        <f t="shared" si="16"/>
        <v/>
      </c>
      <c r="I42" s="9" t="str">
        <f t="shared" si="17"/>
        <v/>
      </c>
      <c r="J42" s="66"/>
      <c r="K42" s="11"/>
      <c r="L42" s="11"/>
      <c r="M42" s="6" t="str">
        <f t="shared" si="8"/>
        <v/>
      </c>
      <c r="N42" s="40" t="s">
        <v>77</v>
      </c>
      <c r="O42" s="38">
        <f t="shared" si="12"/>
        <v>0</v>
      </c>
      <c r="P42" s="38" t="e">
        <f t="shared" si="9"/>
        <v>#VALUE!</v>
      </c>
      <c r="Q42" s="38" t="e">
        <f t="shared" si="13"/>
        <v>#VALUE!</v>
      </c>
      <c r="R42" s="38" t="e">
        <f t="shared" si="14"/>
        <v>#VALUE!</v>
      </c>
      <c r="S42" s="38">
        <f t="shared" si="0"/>
        <v>0</v>
      </c>
      <c r="T42" s="38" t="e">
        <f t="shared" si="1"/>
        <v>#VALUE!</v>
      </c>
    </row>
    <row r="43" spans="1:20" ht="20.25" hidden="1" customHeight="1" x14ac:dyDescent="0.3">
      <c r="A43" s="62"/>
      <c r="B43" s="6" t="str">
        <f t="shared" si="2"/>
        <v/>
      </c>
      <c r="C43" s="117" t="str">
        <f t="shared" si="6"/>
        <v/>
      </c>
      <c r="D43" s="7" t="str">
        <f t="shared" si="3"/>
        <v/>
      </c>
      <c r="E43" s="7" t="str">
        <f t="shared" si="10"/>
        <v/>
      </c>
      <c r="F43" s="7" t="str">
        <f t="shared" si="7"/>
        <v/>
      </c>
      <c r="G43" s="8" t="str">
        <f t="shared" si="15"/>
        <v/>
      </c>
      <c r="H43" s="8" t="str">
        <f t="shared" si="16"/>
        <v/>
      </c>
      <c r="I43" s="9" t="str">
        <f t="shared" si="17"/>
        <v/>
      </c>
      <c r="J43" s="66"/>
      <c r="K43" s="11"/>
      <c r="L43" s="11"/>
      <c r="M43" s="6" t="str">
        <f t="shared" si="8"/>
        <v/>
      </c>
      <c r="N43" s="40" t="s">
        <v>78</v>
      </c>
      <c r="O43" s="38">
        <f t="shared" si="12"/>
        <v>0</v>
      </c>
      <c r="P43" s="38" t="e">
        <f t="shared" si="9"/>
        <v>#VALUE!</v>
      </c>
      <c r="Q43" s="38" t="e">
        <f t="shared" si="13"/>
        <v>#VALUE!</v>
      </c>
      <c r="R43" s="38" t="e">
        <f t="shared" si="14"/>
        <v>#VALUE!</v>
      </c>
      <c r="S43" s="38">
        <f t="shared" si="0"/>
        <v>0</v>
      </c>
      <c r="T43" s="38" t="e">
        <f t="shared" si="1"/>
        <v>#VALUE!</v>
      </c>
    </row>
    <row r="44" spans="1:20" ht="20.25" hidden="1" customHeight="1" x14ac:dyDescent="0.3">
      <c r="A44" s="62"/>
      <c r="B44" s="6" t="str">
        <f t="shared" si="2"/>
        <v/>
      </c>
      <c r="C44" s="117" t="str">
        <f t="shared" si="6"/>
        <v/>
      </c>
      <c r="D44" s="7" t="str">
        <f t="shared" si="3"/>
        <v/>
      </c>
      <c r="E44" s="7" t="str">
        <f t="shared" si="10"/>
        <v/>
      </c>
      <c r="F44" s="7" t="str">
        <f t="shared" si="7"/>
        <v/>
      </c>
      <c r="G44" s="8" t="str">
        <f t="shared" si="15"/>
        <v/>
      </c>
      <c r="H44" s="8" t="str">
        <f t="shared" si="16"/>
        <v/>
      </c>
      <c r="I44" s="9" t="str">
        <f t="shared" si="17"/>
        <v/>
      </c>
      <c r="J44" s="66"/>
      <c r="K44" s="11"/>
      <c r="L44" s="11"/>
      <c r="M44" s="6" t="str">
        <f t="shared" si="8"/>
        <v/>
      </c>
      <c r="N44" s="40" t="s">
        <v>79</v>
      </c>
      <c r="O44" s="38">
        <f t="shared" si="12"/>
        <v>0</v>
      </c>
      <c r="P44" s="38" t="e">
        <f t="shared" si="9"/>
        <v>#VALUE!</v>
      </c>
      <c r="Q44" s="38" t="e">
        <f t="shared" si="13"/>
        <v>#VALUE!</v>
      </c>
      <c r="R44" s="38" t="e">
        <f t="shared" si="14"/>
        <v>#VALUE!</v>
      </c>
      <c r="S44" s="38">
        <f t="shared" si="0"/>
        <v>0</v>
      </c>
      <c r="T44" s="38" t="e">
        <f t="shared" si="1"/>
        <v>#VALUE!</v>
      </c>
    </row>
    <row r="45" spans="1:20" ht="20.25" hidden="1" customHeight="1" x14ac:dyDescent="0.3">
      <c r="A45" s="62"/>
      <c r="B45" s="6" t="str">
        <f t="shared" si="2"/>
        <v/>
      </c>
      <c r="C45" s="117" t="str">
        <f t="shared" si="6"/>
        <v/>
      </c>
      <c r="D45" s="7" t="str">
        <f t="shared" si="3"/>
        <v/>
      </c>
      <c r="E45" s="7" t="str">
        <f t="shared" si="10"/>
        <v/>
      </c>
      <c r="F45" s="7" t="str">
        <f t="shared" si="7"/>
        <v/>
      </c>
      <c r="G45" s="8" t="str">
        <f t="shared" si="15"/>
        <v/>
      </c>
      <c r="H45" s="8" t="str">
        <f t="shared" si="16"/>
        <v/>
      </c>
      <c r="I45" s="9" t="str">
        <f t="shared" si="17"/>
        <v/>
      </c>
      <c r="J45" s="66"/>
      <c r="K45" s="11"/>
      <c r="L45" s="11"/>
      <c r="M45" s="6" t="str">
        <f t="shared" si="8"/>
        <v/>
      </c>
      <c r="N45" s="40" t="s">
        <v>80</v>
      </c>
      <c r="O45" s="38">
        <f t="shared" si="12"/>
        <v>0</v>
      </c>
      <c r="P45" s="38" t="e">
        <f t="shared" si="9"/>
        <v>#VALUE!</v>
      </c>
      <c r="Q45" s="38" t="e">
        <f t="shared" si="13"/>
        <v>#VALUE!</v>
      </c>
      <c r="R45" s="38" t="e">
        <f t="shared" si="14"/>
        <v>#VALUE!</v>
      </c>
      <c r="S45" s="38">
        <f t="shared" si="0"/>
        <v>0</v>
      </c>
      <c r="T45" s="38" t="e">
        <f t="shared" si="1"/>
        <v>#VALUE!</v>
      </c>
    </row>
    <row r="46" spans="1:20" ht="20.25" hidden="1" customHeight="1" x14ac:dyDescent="0.3">
      <c r="A46" s="62"/>
      <c r="B46" s="6" t="str">
        <f t="shared" si="2"/>
        <v/>
      </c>
      <c r="C46" s="117" t="str">
        <f t="shared" si="6"/>
        <v/>
      </c>
      <c r="D46" s="7" t="str">
        <f t="shared" si="3"/>
        <v/>
      </c>
      <c r="E46" s="7" t="str">
        <f t="shared" si="10"/>
        <v/>
      </c>
      <c r="F46" s="7" t="str">
        <f t="shared" si="7"/>
        <v/>
      </c>
      <c r="G46" s="8" t="str">
        <f t="shared" si="15"/>
        <v/>
      </c>
      <c r="H46" s="8" t="str">
        <f t="shared" si="16"/>
        <v/>
      </c>
      <c r="I46" s="9" t="str">
        <f t="shared" si="17"/>
        <v/>
      </c>
      <c r="J46" s="66"/>
      <c r="K46" s="11"/>
      <c r="L46" s="11"/>
      <c r="M46" s="6" t="str">
        <f t="shared" si="8"/>
        <v/>
      </c>
      <c r="N46" s="40" t="s">
        <v>81</v>
      </c>
      <c r="O46" s="38">
        <f t="shared" si="12"/>
        <v>0</v>
      </c>
      <c r="P46" s="38" t="e">
        <f t="shared" si="9"/>
        <v>#VALUE!</v>
      </c>
      <c r="Q46" s="38" t="e">
        <f t="shared" si="13"/>
        <v>#VALUE!</v>
      </c>
      <c r="R46" s="38" t="e">
        <f t="shared" si="14"/>
        <v>#VALUE!</v>
      </c>
      <c r="S46" s="38">
        <f t="shared" si="0"/>
        <v>0</v>
      </c>
      <c r="T46" s="38" t="e">
        <f t="shared" si="1"/>
        <v>#VALUE!</v>
      </c>
    </row>
    <row r="47" spans="1:20" ht="20.25" hidden="1" customHeight="1" x14ac:dyDescent="0.3">
      <c r="A47" s="62"/>
      <c r="B47" s="6" t="str">
        <f t="shared" si="2"/>
        <v/>
      </c>
      <c r="C47" s="117" t="str">
        <f t="shared" si="6"/>
        <v/>
      </c>
      <c r="D47" s="7" t="str">
        <f t="shared" si="3"/>
        <v/>
      </c>
      <c r="E47" s="7" t="str">
        <f t="shared" si="10"/>
        <v/>
      </c>
      <c r="F47" s="7" t="str">
        <f t="shared" si="7"/>
        <v/>
      </c>
      <c r="G47" s="8" t="str">
        <f t="shared" si="15"/>
        <v/>
      </c>
      <c r="H47" s="8" t="str">
        <f t="shared" si="16"/>
        <v/>
      </c>
      <c r="I47" s="9" t="str">
        <f t="shared" si="17"/>
        <v/>
      </c>
      <c r="J47" s="66"/>
      <c r="K47" s="11"/>
      <c r="L47" s="11"/>
      <c r="M47" s="6" t="str">
        <f t="shared" si="8"/>
        <v/>
      </c>
      <c r="N47" s="40" t="s">
        <v>82</v>
      </c>
      <c r="O47" s="38">
        <f t="shared" si="12"/>
        <v>0</v>
      </c>
      <c r="P47" s="38" t="e">
        <f t="shared" si="9"/>
        <v>#VALUE!</v>
      </c>
      <c r="Q47" s="38" t="e">
        <f t="shared" si="13"/>
        <v>#VALUE!</v>
      </c>
      <c r="R47" s="38" t="e">
        <f t="shared" si="14"/>
        <v>#VALUE!</v>
      </c>
      <c r="S47" s="38">
        <f t="shared" si="0"/>
        <v>0</v>
      </c>
      <c r="T47" s="38" t="e">
        <f t="shared" si="1"/>
        <v>#VALUE!</v>
      </c>
    </row>
    <row r="48" spans="1:20" ht="20.25" hidden="1" customHeight="1" x14ac:dyDescent="0.3">
      <c r="A48" s="62"/>
      <c r="B48" s="6" t="str">
        <f t="shared" si="2"/>
        <v/>
      </c>
      <c r="C48" s="117" t="str">
        <f t="shared" si="6"/>
        <v/>
      </c>
      <c r="D48" s="7" t="str">
        <f t="shared" si="3"/>
        <v/>
      </c>
      <c r="E48" s="7" t="str">
        <f t="shared" si="10"/>
        <v/>
      </c>
      <c r="F48" s="7" t="str">
        <f t="shared" si="7"/>
        <v/>
      </c>
      <c r="G48" s="8" t="str">
        <f t="shared" si="15"/>
        <v/>
      </c>
      <c r="H48" s="8" t="str">
        <f t="shared" si="16"/>
        <v/>
      </c>
      <c r="I48" s="9" t="str">
        <f t="shared" si="17"/>
        <v/>
      </c>
      <c r="J48" s="66"/>
      <c r="K48" s="11"/>
      <c r="L48" s="11"/>
      <c r="M48" s="6" t="str">
        <f t="shared" si="8"/>
        <v/>
      </c>
      <c r="N48" s="40" t="s">
        <v>83</v>
      </c>
      <c r="O48" s="38">
        <f t="shared" si="12"/>
        <v>0</v>
      </c>
      <c r="P48" s="38" t="e">
        <f t="shared" si="9"/>
        <v>#VALUE!</v>
      </c>
      <c r="Q48" s="38" t="e">
        <f t="shared" si="13"/>
        <v>#VALUE!</v>
      </c>
      <c r="R48" s="38" t="e">
        <f t="shared" si="14"/>
        <v>#VALUE!</v>
      </c>
      <c r="S48" s="38">
        <f t="shared" si="0"/>
        <v>0</v>
      </c>
      <c r="T48" s="38" t="e">
        <f t="shared" si="1"/>
        <v>#VALUE!</v>
      </c>
    </row>
    <row r="49" spans="1:20" ht="20.25" hidden="1" customHeight="1" x14ac:dyDescent="0.3">
      <c r="A49" s="62"/>
      <c r="B49" s="6" t="str">
        <f t="shared" si="2"/>
        <v/>
      </c>
      <c r="C49" s="117" t="str">
        <f t="shared" si="6"/>
        <v/>
      </c>
      <c r="D49" s="7" t="str">
        <f t="shared" si="3"/>
        <v/>
      </c>
      <c r="E49" s="7" t="str">
        <f t="shared" si="10"/>
        <v/>
      </c>
      <c r="F49" s="7" t="str">
        <f t="shared" si="7"/>
        <v/>
      </c>
      <c r="G49" s="8" t="str">
        <f t="shared" si="15"/>
        <v/>
      </c>
      <c r="H49" s="8" t="str">
        <f t="shared" si="16"/>
        <v/>
      </c>
      <c r="I49" s="9" t="str">
        <f t="shared" si="17"/>
        <v/>
      </c>
      <c r="J49" s="66"/>
      <c r="K49" s="11"/>
      <c r="L49" s="11"/>
      <c r="M49" s="6" t="str">
        <f t="shared" si="8"/>
        <v/>
      </c>
      <c r="N49" s="40" t="s">
        <v>84</v>
      </c>
      <c r="O49" s="38">
        <f t="shared" si="12"/>
        <v>0</v>
      </c>
      <c r="P49" s="38" t="e">
        <f t="shared" si="9"/>
        <v>#VALUE!</v>
      </c>
      <c r="Q49" s="38" t="e">
        <f t="shared" si="13"/>
        <v>#VALUE!</v>
      </c>
      <c r="R49" s="38" t="e">
        <f t="shared" si="14"/>
        <v>#VALUE!</v>
      </c>
      <c r="S49" s="38">
        <f t="shared" si="0"/>
        <v>0</v>
      </c>
      <c r="T49" s="38" t="e">
        <f t="shared" si="1"/>
        <v>#VALUE!</v>
      </c>
    </row>
    <row r="50" spans="1:20" ht="20.25" hidden="1" customHeight="1" x14ac:dyDescent="0.3">
      <c r="A50" s="62"/>
      <c r="B50" s="6" t="str">
        <f t="shared" si="2"/>
        <v/>
      </c>
      <c r="C50" s="117" t="str">
        <f t="shared" si="6"/>
        <v/>
      </c>
      <c r="D50" s="7" t="str">
        <f t="shared" si="3"/>
        <v/>
      </c>
      <c r="E50" s="7" t="str">
        <f t="shared" si="10"/>
        <v/>
      </c>
      <c r="F50" s="7" t="str">
        <f t="shared" si="7"/>
        <v/>
      </c>
      <c r="G50" s="8" t="str">
        <f t="shared" si="15"/>
        <v/>
      </c>
      <c r="H50" s="8" t="str">
        <f t="shared" si="16"/>
        <v/>
      </c>
      <c r="I50" s="9" t="str">
        <f t="shared" si="17"/>
        <v/>
      </c>
      <c r="J50" s="66"/>
      <c r="K50" s="11"/>
      <c r="L50" s="11"/>
      <c r="M50" s="6" t="str">
        <f t="shared" si="8"/>
        <v/>
      </c>
      <c r="N50" s="40" t="s">
        <v>85</v>
      </c>
      <c r="O50" s="38">
        <f t="shared" si="12"/>
        <v>0</v>
      </c>
      <c r="P50" s="38" t="e">
        <f t="shared" si="9"/>
        <v>#VALUE!</v>
      </c>
      <c r="Q50" s="38" t="e">
        <f t="shared" si="13"/>
        <v>#VALUE!</v>
      </c>
      <c r="R50" s="38" t="e">
        <f t="shared" si="14"/>
        <v>#VALUE!</v>
      </c>
      <c r="S50" s="38">
        <f t="shared" si="0"/>
        <v>0</v>
      </c>
      <c r="T50" s="38" t="e">
        <f t="shared" si="1"/>
        <v>#VALUE!</v>
      </c>
    </row>
    <row r="51" spans="1:20" ht="20.25" hidden="1" customHeight="1" x14ac:dyDescent="0.3">
      <c r="A51" s="62"/>
      <c r="B51" s="6" t="str">
        <f t="shared" si="2"/>
        <v/>
      </c>
      <c r="C51" s="117" t="str">
        <f t="shared" si="6"/>
        <v/>
      </c>
      <c r="D51" s="7" t="str">
        <f t="shared" si="3"/>
        <v/>
      </c>
      <c r="E51" s="7" t="str">
        <f t="shared" si="10"/>
        <v/>
      </c>
      <c r="F51" s="7" t="str">
        <f t="shared" si="7"/>
        <v/>
      </c>
      <c r="G51" s="8" t="str">
        <f t="shared" si="15"/>
        <v/>
      </c>
      <c r="H51" s="8" t="str">
        <f t="shared" si="16"/>
        <v/>
      </c>
      <c r="I51" s="9" t="str">
        <f t="shared" si="17"/>
        <v/>
      </c>
      <c r="J51" s="66"/>
      <c r="K51" s="11"/>
      <c r="L51" s="11"/>
      <c r="M51" s="6" t="str">
        <f t="shared" si="8"/>
        <v/>
      </c>
      <c r="N51" s="40" t="s">
        <v>86</v>
      </c>
      <c r="O51" s="38">
        <f t="shared" si="12"/>
        <v>0</v>
      </c>
      <c r="P51" s="38" t="e">
        <f t="shared" si="9"/>
        <v>#VALUE!</v>
      </c>
      <c r="Q51" s="38" t="e">
        <f t="shared" si="13"/>
        <v>#VALUE!</v>
      </c>
      <c r="R51" s="38" t="e">
        <f t="shared" si="14"/>
        <v>#VALUE!</v>
      </c>
      <c r="S51" s="38">
        <f t="shared" si="0"/>
        <v>0</v>
      </c>
      <c r="T51" s="38" t="e">
        <f t="shared" si="1"/>
        <v>#VALUE!</v>
      </c>
    </row>
    <row r="52" spans="1:20" ht="20.25" hidden="1" customHeight="1" x14ac:dyDescent="0.3">
      <c r="A52" s="62"/>
      <c r="B52" s="6" t="str">
        <f t="shared" si="2"/>
        <v/>
      </c>
      <c r="C52" s="117" t="str">
        <f t="shared" si="6"/>
        <v/>
      </c>
      <c r="D52" s="7" t="str">
        <f t="shared" si="3"/>
        <v/>
      </c>
      <c r="E52" s="7" t="str">
        <f t="shared" si="10"/>
        <v/>
      </c>
      <c r="F52" s="7" t="str">
        <f t="shared" si="7"/>
        <v/>
      </c>
      <c r="G52" s="8" t="str">
        <f t="shared" si="15"/>
        <v/>
      </c>
      <c r="H52" s="8" t="str">
        <f t="shared" si="16"/>
        <v/>
      </c>
      <c r="I52" s="9" t="str">
        <f t="shared" si="17"/>
        <v/>
      </c>
      <c r="J52" s="66"/>
      <c r="K52" s="11"/>
      <c r="L52" s="11"/>
      <c r="M52" s="6" t="str">
        <f t="shared" si="8"/>
        <v/>
      </c>
      <c r="N52" s="40" t="s">
        <v>87</v>
      </c>
      <c r="O52" s="38">
        <f t="shared" si="12"/>
        <v>0</v>
      </c>
      <c r="P52" s="38" t="e">
        <f t="shared" si="9"/>
        <v>#VALUE!</v>
      </c>
      <c r="Q52" s="38" t="e">
        <f t="shared" si="13"/>
        <v>#VALUE!</v>
      </c>
      <c r="R52" s="38" t="e">
        <f t="shared" si="14"/>
        <v>#VALUE!</v>
      </c>
      <c r="S52" s="38">
        <f t="shared" si="0"/>
        <v>0</v>
      </c>
      <c r="T52" s="38" t="e">
        <f t="shared" si="1"/>
        <v>#VALUE!</v>
      </c>
    </row>
    <row r="53" spans="1:20" ht="20.25" hidden="1" customHeight="1" x14ac:dyDescent="0.3">
      <c r="A53" s="62"/>
      <c r="B53" s="6" t="str">
        <f t="shared" si="2"/>
        <v/>
      </c>
      <c r="C53" s="117" t="str">
        <f t="shared" si="6"/>
        <v/>
      </c>
      <c r="D53" s="7" t="str">
        <f t="shared" si="3"/>
        <v/>
      </c>
      <c r="E53" s="7" t="str">
        <f t="shared" si="10"/>
        <v/>
      </c>
      <c r="F53" s="7" t="str">
        <f t="shared" si="7"/>
        <v/>
      </c>
      <c r="G53" s="8" t="str">
        <f t="shared" si="15"/>
        <v/>
      </c>
      <c r="H53" s="8" t="str">
        <f t="shared" si="16"/>
        <v/>
      </c>
      <c r="I53" s="9" t="str">
        <f t="shared" si="17"/>
        <v/>
      </c>
      <c r="J53" s="66"/>
      <c r="K53" s="11"/>
      <c r="L53" s="11"/>
      <c r="M53" s="6" t="str">
        <f t="shared" si="8"/>
        <v/>
      </c>
      <c r="N53" s="40" t="s">
        <v>88</v>
      </c>
      <c r="O53" s="38">
        <f t="shared" si="12"/>
        <v>0</v>
      </c>
      <c r="P53" s="38" t="e">
        <f t="shared" si="9"/>
        <v>#VALUE!</v>
      </c>
      <c r="Q53" s="38" t="e">
        <f t="shared" si="13"/>
        <v>#VALUE!</v>
      </c>
      <c r="R53" s="38" t="e">
        <f t="shared" si="14"/>
        <v>#VALUE!</v>
      </c>
      <c r="S53" s="38">
        <f t="shared" si="0"/>
        <v>0</v>
      </c>
      <c r="T53" s="38" t="e">
        <f t="shared" si="1"/>
        <v>#VALUE!</v>
      </c>
    </row>
    <row r="54" spans="1:20" ht="20.25" hidden="1" customHeight="1" x14ac:dyDescent="0.3">
      <c r="A54" s="62"/>
      <c r="B54" s="6" t="str">
        <f t="shared" si="2"/>
        <v/>
      </c>
      <c r="C54" s="117" t="str">
        <f t="shared" si="6"/>
        <v/>
      </c>
      <c r="D54" s="7" t="str">
        <f t="shared" si="3"/>
        <v/>
      </c>
      <c r="E54" s="7" t="str">
        <f t="shared" si="10"/>
        <v/>
      </c>
      <c r="F54" s="7" t="str">
        <f t="shared" si="7"/>
        <v/>
      </c>
      <c r="G54" s="8" t="str">
        <f t="shared" si="15"/>
        <v/>
      </c>
      <c r="H54" s="8" t="str">
        <f t="shared" si="16"/>
        <v/>
      </c>
      <c r="I54" s="9" t="str">
        <f t="shared" si="17"/>
        <v/>
      </c>
      <c r="J54" s="66"/>
      <c r="K54" s="11"/>
      <c r="L54" s="11"/>
      <c r="M54" s="6" t="str">
        <f t="shared" si="8"/>
        <v/>
      </c>
      <c r="N54" s="40" t="s">
        <v>89</v>
      </c>
      <c r="O54" s="38">
        <f t="shared" si="12"/>
        <v>0</v>
      </c>
      <c r="P54" s="38" t="e">
        <f t="shared" si="9"/>
        <v>#VALUE!</v>
      </c>
      <c r="Q54" s="38" t="e">
        <f t="shared" si="13"/>
        <v>#VALUE!</v>
      </c>
      <c r="R54" s="38" t="e">
        <f t="shared" si="14"/>
        <v>#VALUE!</v>
      </c>
      <c r="S54" s="38">
        <f t="shared" si="0"/>
        <v>0</v>
      </c>
      <c r="T54" s="38" t="e">
        <f t="shared" si="1"/>
        <v>#VALUE!</v>
      </c>
    </row>
    <row r="55" spans="1:20" ht="20.25" hidden="1" customHeight="1" x14ac:dyDescent="0.3">
      <c r="A55" s="62"/>
      <c r="B55" s="6" t="str">
        <f t="shared" si="2"/>
        <v/>
      </c>
      <c r="C55" s="117" t="str">
        <f t="shared" si="6"/>
        <v/>
      </c>
      <c r="D55" s="7" t="str">
        <f t="shared" si="3"/>
        <v/>
      </c>
      <c r="E55" s="7" t="str">
        <f t="shared" si="10"/>
        <v/>
      </c>
      <c r="F55" s="7" t="str">
        <f t="shared" si="7"/>
        <v/>
      </c>
      <c r="G55" s="8" t="str">
        <f t="shared" si="15"/>
        <v/>
      </c>
      <c r="H55" s="8" t="str">
        <f t="shared" si="16"/>
        <v/>
      </c>
      <c r="I55" s="9" t="str">
        <f t="shared" si="17"/>
        <v/>
      </c>
      <c r="J55" s="66"/>
      <c r="K55" s="11"/>
      <c r="L55" s="11"/>
      <c r="M55" s="6" t="str">
        <f t="shared" si="8"/>
        <v/>
      </c>
      <c r="N55" s="40" t="s">
        <v>90</v>
      </c>
      <c r="O55" s="38">
        <f t="shared" si="12"/>
        <v>0</v>
      </c>
      <c r="P55" s="38" t="e">
        <f t="shared" si="9"/>
        <v>#VALUE!</v>
      </c>
      <c r="Q55" s="38" t="e">
        <f t="shared" si="13"/>
        <v>#VALUE!</v>
      </c>
      <c r="R55" s="38" t="e">
        <f t="shared" si="14"/>
        <v>#VALUE!</v>
      </c>
      <c r="S55" s="38">
        <f t="shared" si="0"/>
        <v>0</v>
      </c>
      <c r="T55" s="38" t="e">
        <f t="shared" si="1"/>
        <v>#VALUE!</v>
      </c>
    </row>
    <row r="56" spans="1:20" ht="20.25" hidden="1" customHeight="1" x14ac:dyDescent="0.3">
      <c r="A56" s="62"/>
      <c r="B56" s="6" t="str">
        <f t="shared" si="2"/>
        <v/>
      </c>
      <c r="C56" s="117" t="str">
        <f t="shared" si="6"/>
        <v/>
      </c>
      <c r="D56" s="7" t="str">
        <f t="shared" si="3"/>
        <v/>
      </c>
      <c r="E56" s="7" t="str">
        <f t="shared" si="10"/>
        <v/>
      </c>
      <c r="F56" s="7" t="str">
        <f t="shared" si="7"/>
        <v/>
      </c>
      <c r="G56" s="8" t="str">
        <f t="shared" si="15"/>
        <v/>
      </c>
      <c r="H56" s="8" t="str">
        <f t="shared" si="16"/>
        <v/>
      </c>
      <c r="I56" s="9" t="str">
        <f t="shared" si="17"/>
        <v/>
      </c>
      <c r="J56" s="66"/>
      <c r="K56" s="11"/>
      <c r="L56" s="11"/>
      <c r="M56" s="6" t="str">
        <f t="shared" si="8"/>
        <v/>
      </c>
      <c r="N56" s="40" t="s">
        <v>91</v>
      </c>
      <c r="O56" s="38">
        <f t="shared" si="12"/>
        <v>0</v>
      </c>
      <c r="P56" s="38" t="e">
        <f t="shared" si="9"/>
        <v>#VALUE!</v>
      </c>
      <c r="Q56" s="38" t="e">
        <f t="shared" si="13"/>
        <v>#VALUE!</v>
      </c>
      <c r="R56" s="38" t="e">
        <f t="shared" si="14"/>
        <v>#VALUE!</v>
      </c>
      <c r="S56" s="38">
        <f t="shared" si="0"/>
        <v>0</v>
      </c>
      <c r="T56" s="38" t="e">
        <f t="shared" si="1"/>
        <v>#VALUE!</v>
      </c>
    </row>
    <row r="57" spans="1:20" ht="20.25" hidden="1" customHeight="1" x14ac:dyDescent="0.3">
      <c r="A57" s="62"/>
      <c r="B57" s="6" t="str">
        <f t="shared" si="2"/>
        <v/>
      </c>
      <c r="C57" s="117" t="str">
        <f t="shared" si="6"/>
        <v/>
      </c>
      <c r="D57" s="7" t="str">
        <f t="shared" si="3"/>
        <v/>
      </c>
      <c r="E57" s="7" t="str">
        <f t="shared" si="10"/>
        <v/>
      </c>
      <c r="F57" s="7" t="str">
        <f t="shared" si="7"/>
        <v/>
      </c>
      <c r="G57" s="8" t="str">
        <f t="shared" si="15"/>
        <v/>
      </c>
      <c r="H57" s="8" t="str">
        <f t="shared" si="16"/>
        <v/>
      </c>
      <c r="I57" s="9" t="str">
        <f t="shared" si="17"/>
        <v/>
      </c>
      <c r="J57" s="66"/>
      <c r="K57" s="11"/>
      <c r="L57" s="11"/>
      <c r="M57" s="6" t="str">
        <f t="shared" si="8"/>
        <v/>
      </c>
      <c r="N57" s="40" t="s">
        <v>92</v>
      </c>
      <c r="O57" s="38">
        <f t="shared" si="12"/>
        <v>0</v>
      </c>
      <c r="P57" s="38" t="e">
        <f t="shared" si="9"/>
        <v>#VALUE!</v>
      </c>
      <c r="Q57" s="38" t="e">
        <f t="shared" si="13"/>
        <v>#VALUE!</v>
      </c>
      <c r="R57" s="38" t="e">
        <f t="shared" si="14"/>
        <v>#VALUE!</v>
      </c>
      <c r="S57" s="38">
        <f t="shared" si="0"/>
        <v>0</v>
      </c>
      <c r="T57" s="38" t="e">
        <f t="shared" si="1"/>
        <v>#VALUE!</v>
      </c>
    </row>
    <row r="58" spans="1:20" ht="20.25" hidden="1" customHeight="1" x14ac:dyDescent="0.3">
      <c r="A58" s="62"/>
      <c r="B58" s="6" t="str">
        <f t="shared" si="2"/>
        <v/>
      </c>
      <c r="C58" s="117" t="str">
        <f t="shared" si="6"/>
        <v/>
      </c>
      <c r="D58" s="7" t="str">
        <f t="shared" si="3"/>
        <v/>
      </c>
      <c r="E58" s="7" t="str">
        <f t="shared" si="10"/>
        <v/>
      </c>
      <c r="F58" s="7" t="str">
        <f t="shared" si="7"/>
        <v/>
      </c>
      <c r="G58" s="8" t="str">
        <f t="shared" si="15"/>
        <v/>
      </c>
      <c r="H58" s="8" t="str">
        <f t="shared" si="16"/>
        <v/>
      </c>
      <c r="I58" s="9" t="str">
        <f t="shared" si="17"/>
        <v/>
      </c>
      <c r="J58" s="66"/>
      <c r="K58" s="11"/>
      <c r="L58" s="11"/>
      <c r="M58" s="6" t="str">
        <f t="shared" si="8"/>
        <v/>
      </c>
      <c r="N58" s="40" t="s">
        <v>93</v>
      </c>
      <c r="O58" s="38">
        <f t="shared" si="12"/>
        <v>0</v>
      </c>
      <c r="P58" s="38" t="e">
        <f t="shared" si="9"/>
        <v>#VALUE!</v>
      </c>
      <c r="Q58" s="38" t="e">
        <f t="shared" si="13"/>
        <v>#VALUE!</v>
      </c>
      <c r="R58" s="38" t="e">
        <f t="shared" si="14"/>
        <v>#VALUE!</v>
      </c>
      <c r="S58" s="38">
        <f t="shared" si="0"/>
        <v>0</v>
      </c>
      <c r="T58" s="38" t="e">
        <f t="shared" si="1"/>
        <v>#VALUE!</v>
      </c>
    </row>
    <row r="59" spans="1:20" ht="14.25" customHeight="1" x14ac:dyDescent="0.3">
      <c r="A59" s="62"/>
      <c r="B59" s="10"/>
      <c r="C59" s="10"/>
      <c r="D59" s="11"/>
      <c r="E59" s="11"/>
      <c r="F59" s="11"/>
      <c r="G59" s="12"/>
      <c r="H59" s="12"/>
      <c r="I59" s="13"/>
      <c r="J59" s="66"/>
      <c r="K59" s="11"/>
      <c r="L59" s="11"/>
      <c r="M59" s="1"/>
    </row>
    <row r="60" spans="1:20" ht="20.25" customHeight="1" x14ac:dyDescent="0.3">
      <c r="A60" s="62"/>
      <c r="B60" s="67" t="s">
        <v>100</v>
      </c>
      <c r="C60" s="14">
        <f t="shared" ref="C60:D60" si="18">SUM(C19:C59)</f>
        <v>406000</v>
      </c>
      <c r="D60" s="14">
        <f t="shared" si="18"/>
        <v>5328.75</v>
      </c>
      <c r="E60" s="14">
        <f>SUM(E19:E59)</f>
        <v>4657.7222222222226</v>
      </c>
      <c r="F60" s="14"/>
      <c r="G60" s="14">
        <f>SUM(G19:G59)</f>
        <v>0</v>
      </c>
      <c r="H60" s="14">
        <f>SUM(H19:H59)</f>
        <v>0</v>
      </c>
      <c r="I60" s="14">
        <f>SUM(I19:I59)</f>
        <v>3759.7417808219179</v>
      </c>
      <c r="J60" s="66"/>
      <c r="K60" s="47"/>
      <c r="L60" s="47"/>
      <c r="M60" s="45"/>
    </row>
    <row r="61" spans="1:20" s="15" customFormat="1" ht="15.75" customHeight="1" x14ac:dyDescent="0.3">
      <c r="A61" s="87"/>
      <c r="B61" s="59"/>
      <c r="C61" s="3"/>
      <c r="D61" s="3"/>
      <c r="E61" s="3"/>
      <c r="F61" s="3"/>
      <c r="G61" s="3"/>
      <c r="H61" s="3"/>
      <c r="I61" s="3"/>
      <c r="J61" s="70"/>
      <c r="K61" s="45"/>
      <c r="L61" s="45"/>
      <c r="M61" s="45"/>
      <c r="N61" s="29"/>
      <c r="O61" s="1"/>
    </row>
    <row r="62" spans="1:20" s="15" customFormat="1" ht="20.25" customHeight="1" x14ac:dyDescent="0.3">
      <c r="A62" s="87"/>
      <c r="B62" s="59" t="s">
        <v>103</v>
      </c>
      <c r="C62" s="3"/>
      <c r="D62" s="3"/>
      <c r="E62" s="3"/>
      <c r="F62" s="3"/>
      <c r="G62" s="3"/>
      <c r="H62" s="3"/>
      <c r="I62" s="3"/>
      <c r="J62" s="70"/>
      <c r="K62" s="45"/>
      <c r="L62" s="45"/>
      <c r="M62" s="45"/>
      <c r="N62" s="29"/>
      <c r="O62" s="1"/>
    </row>
    <row r="63" spans="1:20" s="15" customFormat="1" ht="20.25" customHeight="1" x14ac:dyDescent="0.3">
      <c r="A63" s="87"/>
      <c r="B63" s="74" t="s">
        <v>104</v>
      </c>
      <c r="C63" s="3"/>
      <c r="D63" s="3"/>
      <c r="E63" s="3"/>
      <c r="F63" s="3"/>
      <c r="G63" s="3"/>
      <c r="H63" s="3"/>
      <c r="I63" s="3"/>
      <c r="J63" s="70"/>
      <c r="K63" s="45"/>
      <c r="L63" s="45"/>
      <c r="M63" s="48"/>
      <c r="N63" s="29"/>
      <c r="O63" s="1"/>
    </row>
    <row r="64" spans="1:20" s="17" customFormat="1" ht="20.25" customHeight="1" x14ac:dyDescent="0.3">
      <c r="A64" s="88"/>
      <c r="B64" s="74" t="s">
        <v>111</v>
      </c>
      <c r="C64" s="16"/>
      <c r="D64" s="16"/>
      <c r="E64" s="16"/>
      <c r="F64" s="16"/>
      <c r="G64" s="16"/>
      <c r="H64" s="16"/>
      <c r="I64" s="16"/>
      <c r="J64" s="68"/>
      <c r="K64" s="58"/>
      <c r="L64" s="48"/>
      <c r="M64" s="48"/>
      <c r="N64" s="29"/>
      <c r="O64" s="30"/>
      <c r="P64" s="31"/>
      <c r="Q64" s="29"/>
    </row>
    <row r="65" spans="1:17" s="17" customFormat="1" ht="20.25" customHeight="1" x14ac:dyDescent="0.3">
      <c r="A65" s="88"/>
      <c r="B65" s="75" t="s">
        <v>105</v>
      </c>
      <c r="C65" s="16"/>
      <c r="D65" s="16"/>
      <c r="E65" s="16"/>
      <c r="F65" s="16"/>
      <c r="G65" s="16"/>
      <c r="H65" s="16"/>
      <c r="I65" s="16"/>
      <c r="J65" s="68"/>
      <c r="K65" s="58"/>
      <c r="L65" s="48"/>
      <c r="M65" s="48"/>
      <c r="N65" s="29"/>
      <c r="O65" s="30"/>
      <c r="P65" s="31"/>
      <c r="Q65" s="29"/>
    </row>
    <row r="66" spans="1:17" s="17" customFormat="1" ht="20.25" customHeight="1" x14ac:dyDescent="0.3">
      <c r="A66" s="88"/>
      <c r="B66" s="75" t="s">
        <v>106</v>
      </c>
      <c r="C66" s="16"/>
      <c r="D66" s="16"/>
      <c r="E66" s="16"/>
      <c r="F66" s="16"/>
      <c r="G66" s="16"/>
      <c r="H66" s="16"/>
      <c r="I66" s="16"/>
      <c r="J66" s="68"/>
      <c r="K66" s="16"/>
      <c r="L66" s="28"/>
      <c r="M66" s="49"/>
      <c r="N66" s="33"/>
      <c r="O66" s="30"/>
      <c r="P66" s="29"/>
      <c r="Q66" s="29"/>
    </row>
    <row r="67" spans="1:17" s="19" customFormat="1" ht="20.25" customHeight="1" x14ac:dyDescent="0.3">
      <c r="A67" s="89"/>
      <c r="B67" s="76" t="s">
        <v>107</v>
      </c>
      <c r="C67" s="18"/>
      <c r="D67" s="18"/>
      <c r="E67" s="18"/>
      <c r="F67" s="18"/>
      <c r="G67" s="18"/>
      <c r="H67" s="18"/>
      <c r="I67" s="18"/>
      <c r="J67" s="69"/>
      <c r="K67" s="18"/>
      <c r="L67" s="32"/>
      <c r="M67" s="49"/>
      <c r="N67" s="33"/>
      <c r="O67" s="30"/>
      <c r="P67" s="33"/>
      <c r="Q67" s="33"/>
    </row>
    <row r="68" spans="1:17" s="19" customFormat="1" ht="20.25" customHeight="1" x14ac:dyDescent="0.3">
      <c r="A68" s="89"/>
      <c r="B68" s="76" t="s">
        <v>108</v>
      </c>
      <c r="C68" s="18"/>
      <c r="D68" s="18"/>
      <c r="E68" s="18"/>
      <c r="F68" s="18"/>
      <c r="G68" s="18"/>
      <c r="H68" s="18"/>
      <c r="I68" s="18"/>
      <c r="J68" s="69"/>
      <c r="K68" s="18"/>
      <c r="L68" s="32"/>
      <c r="M68" s="49"/>
      <c r="N68" s="33"/>
      <c r="O68" s="30"/>
      <c r="P68" s="33"/>
      <c r="Q68" s="33"/>
    </row>
    <row r="69" spans="1:17" s="19" customFormat="1" ht="20.25" customHeight="1" x14ac:dyDescent="0.3">
      <c r="A69" s="89"/>
      <c r="B69" s="77" t="s">
        <v>102</v>
      </c>
      <c r="C69" s="18"/>
      <c r="D69" s="20"/>
      <c r="E69" s="20"/>
      <c r="F69" s="20"/>
      <c r="G69" s="20"/>
      <c r="H69" s="20"/>
      <c r="I69" s="20"/>
      <c r="J69" s="82"/>
      <c r="K69" s="18"/>
      <c r="L69" s="32"/>
      <c r="M69" s="50"/>
      <c r="N69" s="29"/>
      <c r="O69" s="30"/>
      <c r="P69" s="33"/>
      <c r="Q69" s="33"/>
    </row>
    <row r="70" spans="1:17" ht="20.25" customHeight="1" x14ac:dyDescent="0.3">
      <c r="A70" s="62"/>
      <c r="B70" s="76" t="s">
        <v>109</v>
      </c>
      <c r="C70" s="3"/>
      <c r="D70" s="3"/>
      <c r="E70" s="3"/>
      <c r="F70" s="3"/>
      <c r="G70" s="3"/>
      <c r="H70" s="3"/>
      <c r="I70" s="3"/>
      <c r="J70" s="70"/>
      <c r="K70" s="3"/>
    </row>
    <row r="71" spans="1:17" ht="20.25" customHeight="1" x14ac:dyDescent="0.3">
      <c r="A71" s="62"/>
      <c r="B71" s="76" t="s">
        <v>110</v>
      </c>
      <c r="C71" s="3"/>
      <c r="D71" s="3"/>
      <c r="E71" s="3"/>
      <c r="F71" s="3"/>
      <c r="G71" s="3"/>
      <c r="H71" s="3"/>
      <c r="I71" s="3"/>
      <c r="J71" s="70"/>
      <c r="K71" s="3"/>
    </row>
    <row r="72" spans="1:17" ht="20.25" customHeight="1" x14ac:dyDescent="0.3">
      <c r="A72" s="62"/>
      <c r="B72" s="76" t="s">
        <v>118</v>
      </c>
      <c r="C72" s="3"/>
      <c r="D72" s="3"/>
      <c r="E72" s="3"/>
      <c r="F72" s="3"/>
      <c r="G72" s="3"/>
      <c r="H72" s="3"/>
      <c r="I72" s="3"/>
      <c r="J72" s="70"/>
      <c r="K72" s="3"/>
    </row>
    <row r="73" spans="1:17" ht="15.75" customHeight="1" x14ac:dyDescent="0.3">
      <c r="A73" s="62"/>
      <c r="B73" s="76"/>
      <c r="C73" s="3"/>
      <c r="D73" s="3"/>
      <c r="E73" s="3"/>
      <c r="F73" s="3"/>
      <c r="G73" s="3"/>
      <c r="H73" s="3"/>
      <c r="I73" s="3"/>
      <c r="J73" s="70"/>
      <c r="K73" s="3"/>
    </row>
    <row r="74" spans="1:17" ht="15.75" customHeight="1" x14ac:dyDescent="0.3">
      <c r="A74" s="62"/>
      <c r="B74" s="76"/>
      <c r="C74" s="3"/>
      <c r="D74" s="3"/>
      <c r="E74" s="3"/>
      <c r="F74" s="3"/>
      <c r="G74" s="3"/>
      <c r="H74" s="3"/>
      <c r="I74" s="3"/>
      <c r="J74" s="70"/>
      <c r="K74" s="3"/>
    </row>
    <row r="75" spans="1:17" ht="15.75" customHeight="1" x14ac:dyDescent="0.3">
      <c r="A75" s="62"/>
      <c r="B75" s="76"/>
      <c r="C75" s="3"/>
      <c r="D75" s="3"/>
      <c r="E75" s="3"/>
      <c r="F75" s="3"/>
      <c r="G75" s="3"/>
      <c r="H75" s="3"/>
      <c r="I75" s="3"/>
      <c r="J75" s="70"/>
      <c r="K75" s="3"/>
    </row>
    <row r="76" spans="1:17" ht="15.75" customHeight="1" x14ac:dyDescent="0.3">
      <c r="A76" s="62"/>
      <c r="B76" s="76"/>
      <c r="C76" s="3"/>
      <c r="D76" s="3"/>
      <c r="E76" s="3"/>
      <c r="F76" s="3"/>
      <c r="G76" s="3"/>
      <c r="H76" s="3"/>
      <c r="I76" s="3"/>
      <c r="J76" s="70"/>
      <c r="K76" s="3"/>
    </row>
    <row r="77" spans="1:17" ht="15.75" customHeight="1" x14ac:dyDescent="0.3">
      <c r="A77" s="62"/>
      <c r="B77" s="76"/>
      <c r="C77" s="3"/>
      <c r="D77" s="3"/>
      <c r="E77" s="3"/>
      <c r="F77" s="3"/>
      <c r="G77" s="3"/>
      <c r="H77" s="3"/>
      <c r="I77" s="3"/>
      <c r="J77" s="70"/>
      <c r="K77" s="3"/>
    </row>
    <row r="78" spans="1:17" ht="15.75" customHeight="1" x14ac:dyDescent="0.3">
      <c r="A78" s="62"/>
      <c r="B78" s="76"/>
      <c r="C78" s="3"/>
      <c r="D78" s="3"/>
      <c r="E78" s="3"/>
      <c r="F78" s="3"/>
      <c r="G78" s="3"/>
      <c r="H78" s="3"/>
      <c r="I78" s="3"/>
      <c r="J78" s="70"/>
      <c r="K78" s="3"/>
    </row>
    <row r="79" spans="1:17" x14ac:dyDescent="0.3">
      <c r="A79" s="90"/>
      <c r="B79" s="71"/>
      <c r="C79" s="71"/>
      <c r="D79" s="71"/>
      <c r="E79" s="71"/>
      <c r="F79" s="71"/>
      <c r="G79" s="71"/>
      <c r="H79" s="71"/>
      <c r="I79" s="71"/>
      <c r="J79" s="72"/>
    </row>
  </sheetData>
  <mergeCells count="4">
    <mergeCell ref="B5:C5"/>
    <mergeCell ref="D5:E5"/>
    <mergeCell ref="F5:G5"/>
    <mergeCell ref="B2:I2"/>
  </mergeCells>
  <phoneticPr fontId="3" type="noConversion"/>
  <dataValidations count="3">
    <dataValidation type="list" showInputMessage="1" showErrorMessage="1" sqref="C3" xr:uid="{00000000-0002-0000-0100-000000000000}">
      <formula1>$N$7:$N$11</formula1>
    </dataValidation>
    <dataValidation type="list" allowBlank="1" showInputMessage="1" showErrorMessage="1" sqref="C12" xr:uid="{00000000-0002-0000-0100-000001000000}">
      <formula1>$O$7:$O$9</formula1>
    </dataValidation>
    <dataValidation type="list" allowBlank="1" showInputMessage="1" showErrorMessage="1" sqref="C11" xr:uid="{00000000-0002-0000-0100-000002000000}">
      <formula1>$P$7:$P$10</formula1>
    </dataValidation>
  </dataValidations>
  <printOptions horizontalCentered="1"/>
  <pageMargins left="0.23622047244094491" right="0.23622047244094491" top="1.1811023622047245" bottom="0.74803149606299213" header="0.31496062992125984" footer="0.31496062992125984"/>
  <pageSetup paperSize="9" scale="65" fitToHeight="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>
      <selection activeCell="F17" sqref="F17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한국전력_USD</vt:lpstr>
      <vt:lpstr>석유공사_USD</vt:lpstr>
      <vt:lpstr>블룸버그</vt:lpstr>
      <vt:lpstr>석유공사_USD!Print_Area</vt:lpstr>
      <vt:lpstr>한국전력_USD!Print_Area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HWPS</dc:creator>
  <cp:lastModifiedBy>우선미(Woo Sun Mi)</cp:lastModifiedBy>
  <cp:lastPrinted>2024-12-27T08:22:14Z</cp:lastPrinted>
  <dcterms:created xsi:type="dcterms:W3CDTF">2023-01-19T05:31:23Z</dcterms:created>
  <dcterms:modified xsi:type="dcterms:W3CDTF">2026-08-21T04:39:18Z</dcterms:modified>
</cp:coreProperties>
</file>