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23475" windowHeight="1228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3" i="1"/>
  <c r="G4"/>
  <c r="A3" l="1"/>
  <c r="A4" l="1"/>
  <c r="H3"/>
  <c r="D3"/>
  <c r="B3"/>
  <c r="E3"/>
  <c r="F3" s="1"/>
  <c r="C3"/>
  <c r="A5" l="1"/>
  <c r="H4"/>
  <c r="E4"/>
  <c r="F4" s="1"/>
  <c r="D4"/>
  <c r="C4"/>
  <c r="B4"/>
  <c r="D5" l="1"/>
  <c r="C5"/>
  <c r="B5"/>
  <c r="A6"/>
  <c r="E5"/>
  <c r="H5"/>
  <c r="C6" l="1"/>
  <c r="H6"/>
  <c r="G6"/>
  <c r="E6"/>
  <c r="D6"/>
  <c r="B6"/>
  <c r="G2" l="1"/>
  <c r="G7" s="1"/>
  <c r="A2"/>
  <c r="H2" s="1"/>
  <c r="H7" s="1"/>
  <c r="D2" l="1"/>
  <c r="D7" s="1"/>
  <c r="B2"/>
  <c r="B7" s="1"/>
  <c r="C2"/>
  <c r="C7" s="1"/>
  <c r="E2" l="1"/>
  <c r="F2" s="1"/>
  <c r="F7" s="1"/>
</calcChain>
</file>

<file path=xl/sharedStrings.xml><?xml version="1.0" encoding="utf-8"?>
<sst xmlns="http://schemas.openxmlformats.org/spreadsheetml/2006/main" count="9" uniqueCount="9">
  <si>
    <t>이자계산일</t>
  </si>
  <si>
    <t>원금</t>
  </si>
  <si>
    <t>이자</t>
  </si>
  <si>
    <t>과세소득</t>
  </si>
  <si>
    <t>과세표준</t>
  </si>
  <si>
    <t>소득세</t>
  </si>
  <si>
    <t>농특세</t>
  </si>
  <si>
    <t>세후수령액</t>
  </si>
  <si>
    <t>합 계</t>
    <phoneticPr fontId="5" type="noConversion"/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</si>
</sst>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176" formatCode="_-* #,##0.00_-;\-* #,##0.00_-;_-* &quot;-&quot;_-;_-@_-"/>
    <numFmt numFmtId="177" formatCode="#,##0_);[Red]\(#,##0\)"/>
    <numFmt numFmtId="178" formatCode="#,##0.00_);[Red]\(#,##0.00\)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  <scheme val="minor"/>
    </font>
    <font>
      <sz val="9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41" fontId="7" fillId="0" borderId="0" applyFont="0" applyFill="0" applyBorder="0" applyAlignment="0" applyProtection="0"/>
  </cellStyleXfs>
  <cellXfs count="13">
    <xf numFmtId="0" fontId="0" fillId="0" borderId="0" xfId="0">
      <alignment vertical="center"/>
    </xf>
    <xf numFmtId="0" fontId="3" fillId="2" borderId="1" xfId="2" applyFont="1" applyFill="1" applyBorder="1" applyAlignment="1">
      <alignment horizontal="center" vertical="center"/>
    </xf>
    <xf numFmtId="14" fontId="6" fillId="0" borderId="2" xfId="2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41" fontId="6" fillId="0" borderId="2" xfId="1" applyNumberFormat="1" applyFont="1" applyFill="1" applyBorder="1" applyAlignment="1">
      <alignment vertical="center"/>
    </xf>
    <xf numFmtId="177" fontId="6" fillId="0" borderId="2" xfId="1" applyNumberFormat="1" applyFont="1" applyFill="1" applyBorder="1" applyAlignment="1">
      <alignment vertical="center"/>
    </xf>
    <xf numFmtId="41" fontId="6" fillId="0" borderId="2" xfId="1" applyNumberFormat="1" applyFont="1" applyBorder="1" applyAlignment="1">
      <alignment vertical="center"/>
    </xf>
    <xf numFmtId="177" fontId="6" fillId="0" borderId="2" xfId="2" applyNumberFormat="1" applyFont="1" applyFill="1" applyBorder="1" applyAlignment="1">
      <alignment vertical="center"/>
    </xf>
    <xf numFmtId="178" fontId="6" fillId="0" borderId="2" xfId="3" applyNumberFormat="1" applyFont="1" applyFill="1" applyBorder="1" applyAlignment="1">
      <alignment vertical="center"/>
    </xf>
    <xf numFmtId="178" fontId="6" fillId="0" borderId="2" xfId="2" applyNumberFormat="1" applyFont="1" applyFill="1" applyBorder="1" applyAlignment="1">
      <alignment vertical="center"/>
    </xf>
    <xf numFmtId="178" fontId="6" fillId="0" borderId="2" xfId="3" applyNumberFormat="1" applyFont="1" applyBorder="1" applyAlignment="1">
      <alignment vertical="center"/>
    </xf>
    <xf numFmtId="0" fontId="3" fillId="3" borderId="1" xfId="2" applyFont="1" applyFill="1" applyBorder="1" applyAlignment="1">
      <alignment horizontal="center" vertical="center"/>
    </xf>
    <xf numFmtId="41" fontId="3" fillId="3" borderId="1" xfId="1" applyFont="1" applyFill="1" applyBorder="1" applyAlignment="1">
      <alignment horizontal="right" vertical="center"/>
    </xf>
  </cellXfs>
  <cellStyles count="4">
    <cellStyle name="쉼표 [0]" xfId="1" builtinId="6"/>
    <cellStyle name="쉼표 [0] 36" xfId="3"/>
    <cellStyle name="표준" xfId="0" builtinId="0"/>
    <cellStyle name="표준_교보생명2-1 모의투자내역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6.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e">
        <f>COUPNCD(#REF!,#REF!,IF(#REF!=#REF!,1,IF(#REF!=#REF!,2,4)))</f>
        <v>#REF!</v>
      </c>
      <c r="B2" s="3" t="e">
        <f>IF(A2=#REF!,#REF!,"")</f>
        <v>#REF!</v>
      </c>
      <c r="C2" s="4" t="e">
        <f>IF(A2="","",IF(#REF!="krw",(TRUNC((#REF!*#REF!)/(IF(#REF!=#REF!,1,IF(#REF!=#REF!,2,4))),2)*#REF!),(TRUNC((#REF!*#REF!)/(IF(#REF!=#REF!,1,IF(#REF!=#REF!,2,4))),2))))</f>
        <v>#REF!</v>
      </c>
      <c r="D2" s="4" t="e">
        <f>IF(A2="","",IF(#REF!="krw",(TRUNC(C2-#REF!*#REF!*#REF!*YEARFRAC(#REF!,#REF!,IF(#REF!=#REF!,0,IF(#REF!=#REF!,1,IF(#REF!=#REF!,2,IF(#REF!=#REF!,3,4))))),0)),(TRUNC(C2-#REF!*#REF!*YEARFRAC(#REF!,#REF!,IF(#REF!=#REF!,0,IF(#REF!=#REF!,1,IF(#REF!=#REF!,2,IF(#REF!=#REF!,3,4))))),0))))</f>
        <v>#REF!</v>
      </c>
      <c r="E2" s="5" t="e">
        <f>IF(D2&gt;Q2,D2-Q2,0)</f>
        <v>#REF!</v>
      </c>
      <c r="F2" s="6" t="e">
        <f>ROUNDDOWN(E2*0%,-1)</f>
        <v>#REF!</v>
      </c>
      <c r="G2" s="6" t="e">
        <f>IF(#REF!="개인",E2*1.4%,E2*2.8%)</f>
        <v>#REF!</v>
      </c>
      <c r="H2" s="4" t="e">
        <f>IF(A2="","",C2-O2-F2-G2)</f>
        <v>#REF!</v>
      </c>
    </row>
    <row r="3" spans="1:8">
      <c r="A3" s="2" t="e">
        <f>IF(#REF!&lt;#REF!,COUPNCD(#REF!,#REF!,IF(#REF!=#REF!,1,IF(#REF!=#REF!,2,4))),"")</f>
        <v>#REF!</v>
      </c>
      <c r="B3" s="3" t="e">
        <f>IF(A3=#REF!,#REF!,"")</f>
        <v>#REF!</v>
      </c>
      <c r="C3" s="4" t="e">
        <f>IF(A3="","",IF(#REF!="krw",(TRUNC((#REF!*#REF!)/(IF(#REF!=#REF!,1,IF(#REF!=#REF!,2,4))),2)*#REF!),(TRUNC((#REF!*#REF!)/(IF(#REF!=#REF!,1,IF(#REF!=#REF!,2,4))),2))))</f>
        <v>#REF!</v>
      </c>
      <c r="D3" s="4" t="e">
        <f t="shared" ref="D3:D5" si="0">IF(A3="","",C3)</f>
        <v>#REF!</v>
      </c>
      <c r="E3" s="7" t="e">
        <f t="shared" ref="E3:E6" si="1">IF(A3="","",IF(D3&gt;Q3,D3-Q3,0))</f>
        <v>#REF!</v>
      </c>
      <c r="F3" s="6" t="e">
        <f t="shared" ref="F3:F4" si="2">ROUNDDOWN(E3*0%,-1)</f>
        <v>#REF!</v>
      </c>
      <c r="G3" s="6" t="e">
        <f>IF(#REF!="개인",E3*1.4%,E3*2.8%)</f>
        <v>#REF!</v>
      </c>
      <c r="H3" s="8" t="e">
        <f t="shared" ref="H3:H6" si="3">IF(A3="","",C3-O3-F3-G3)</f>
        <v>#REF!</v>
      </c>
    </row>
    <row r="4" spans="1:8">
      <c r="A4" s="2" t="e">
        <f>IF(A3&lt;#REF!,COUPNCD(A3,#REF!,IF(#REF!=#REF!,1,IF(#REF!=#REF!,2,4))),"")</f>
        <v>#REF!</v>
      </c>
      <c r="B4" s="3" t="e">
        <f>IF(A4=#REF!,#REF!,"")</f>
        <v>#REF!</v>
      </c>
      <c r="C4" s="4" t="e">
        <f>IF(A4="","",IF(#REF!="krw",(TRUNC((#REF!*#REF!)/(IF(#REF!=#REF!,1,IF(#REF!=#REF!,2,4))),2)*#REF!),(TRUNC((#REF!*#REF!)/(IF(#REF!=#REF!,1,IF(#REF!=#REF!,2,4))),2))))</f>
        <v>#REF!</v>
      </c>
      <c r="D4" s="4" t="e">
        <f t="shared" si="0"/>
        <v>#REF!</v>
      </c>
      <c r="E4" s="7" t="e">
        <f t="shared" si="1"/>
        <v>#REF!</v>
      </c>
      <c r="F4" s="6" t="e">
        <f t="shared" si="2"/>
        <v>#REF!</v>
      </c>
      <c r="G4" s="6" t="e">
        <f>IF(#REF!="개인",E4*1.4%,E4*2.8%)</f>
        <v>#REF!</v>
      </c>
      <c r="H4" s="8" t="e">
        <f t="shared" si="3"/>
        <v>#REF!</v>
      </c>
    </row>
    <row r="5" spans="1:8">
      <c r="A5" s="2" t="e">
        <f>IF(A4&lt;#REF!,COUPNCD(A4,#REF!,IF(#REF!=#REF!,1,IF(#REF!=#REF!,2,4))),"")</f>
        <v>#REF!</v>
      </c>
      <c r="B5" s="3" t="e">
        <f>IF(A5=#REF!,#REF!,"")</f>
        <v>#REF!</v>
      </c>
      <c r="C5" s="4" t="e">
        <f>IF(A5="","",IF(#REF!="krw",(TRUNC((#REF!*#REF!)/(IF(#REF!=#REF!,1,IF(#REF!=#REF!,2,4))),2)*#REF!),(TRUNC((#REF!*#REF!)/(IF(#REF!=#REF!,1,IF(#REF!=#REF!,2,4))),2))))</f>
        <v>#REF!</v>
      </c>
      <c r="D5" s="4" t="e">
        <f t="shared" si="0"/>
        <v>#REF!</v>
      </c>
      <c r="E5" s="7" t="e">
        <f t="shared" si="1"/>
        <v>#REF!</v>
      </c>
      <c r="F5" s="6"/>
      <c r="G5" s="6"/>
      <c r="H5" s="8" t="e">
        <f t="shared" si="3"/>
        <v>#REF!</v>
      </c>
    </row>
    <row r="6" spans="1:8">
      <c r="A6" s="2" t="e">
        <f>IF(A5&lt;#REF!,COUPNCD(A5,#REF!,IF(#REF!=#REF!,1,IF(#REF!=#REF!,2,4))),"")</f>
        <v>#REF!</v>
      </c>
      <c r="B6" s="3" t="e">
        <f>IF(A6=#REF!,#REF!,"")</f>
        <v>#REF!</v>
      </c>
      <c r="C6" s="4" t="e">
        <f>IF(A6="","",IF(#REF!="krw",(TRUNC((#REF!*#REF!)/(IF(#REF!=#REF!,1,IF(#REF!=#REF!,2,4))),2)*#REF!),(TRUNC((#REF!*#REF!)/(IF(#REF!=#REF!,1,IF(#REF!=#REF!,2,4))),2))))</f>
        <v>#REF!</v>
      </c>
      <c r="D6" s="4" t="e">
        <f>IF(A6="","",IF(#REF!="krw",(TRUNC(C6-#REF!*#REF!*#REF!*YEARFRAC(#REF!,#REF!,IF(#REF!=#REF!,0,IF(#REF!=#REF!,1,IF(#REF!=#REF!,2,IF(#REF!=#REF!,3,4))))),0)),(TRUNC(C6-#REF!*#REF!*YEARFRAC(#REF!,#REF!,IF(#REF!=#REF!,0,IF(#REF!=#REF!,1,IF(#REF!=#REF!,2,IF(#REF!=#REF!,3,4))))),0))))</f>
        <v>#REF!</v>
      </c>
      <c r="E6" s="9" t="e">
        <f t="shared" si="1"/>
        <v>#REF!</v>
      </c>
      <c r="F6" s="6"/>
      <c r="G6" s="10" t="e">
        <f t="shared" ref="G6" si="4">IF(A6="","",ROUNDDOWN(F6*10%,-1))</f>
        <v>#REF!</v>
      </c>
      <c r="H6" s="8" t="e">
        <f t="shared" si="3"/>
        <v>#REF!</v>
      </c>
    </row>
    <row r="7" spans="1:8">
      <c r="A7" s="11" t="s">
        <v>8</v>
      </c>
      <c r="B7" s="12" t="e">
        <f>SUM(B2:B6)</f>
        <v>#REF!</v>
      </c>
      <c r="C7" s="12" t="e">
        <f>SUM(C2:C6)</f>
        <v>#REF!</v>
      </c>
      <c r="D7" s="12" t="e">
        <f>SUM(D2:D6)</f>
        <v>#REF!</v>
      </c>
      <c r="E7" s="12"/>
      <c r="F7" s="12" t="e">
        <f>SUM(F2:F6)</f>
        <v>#REF!</v>
      </c>
      <c r="G7" s="12" t="e">
        <f>SUM(G2:G6)</f>
        <v>#REF!</v>
      </c>
      <c r="H7" s="12" t="e">
        <f>SUM(H2:H6)</f>
        <v>#REF!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infomax</cp:lastModifiedBy>
  <dcterms:created xsi:type="dcterms:W3CDTF">2026-08-23T23:01:29Z</dcterms:created>
  <dcterms:modified xsi:type="dcterms:W3CDTF">2026-08-23T23:03:15Z</dcterms:modified>
</cp:coreProperties>
</file>