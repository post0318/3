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-120" yWindow="-120" windowWidth="29040" windowHeight="15720"/>
  </bookViews>
  <sheets>
    <sheet name="템플릿" sheetId="13" r:id="rId1"/>
    <sheet name="한국전력_USD" sheetId="12" r:id="rId2"/>
    <sheet name="석유공사_USD" sheetId="10" state="hidden" r:id="rId3"/>
    <sheet name="블룸버그" sheetId="6" state="hidden" r:id="rId4"/>
  </sheets>
  <functionGroups/>
  <definedNames>
    <definedName name="_xlnm.Print_Area" localSheetId="2">석유공사_USD!$A$1:$K$80</definedName>
    <definedName name="_xlnm.Print_Area" localSheetId="0">템플릿!$A$1:$K$339</definedName>
    <definedName name="_xlnm.Print_Area" localSheetId="1">한국전력_USD!$A$1:$K$183</definedName>
  </definedNames>
  <calcPr calcId="125725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7" i="13"/>
  <c r="E8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5"/>
  <c r="N176"/>
  <c r="N177"/>
  <c r="N178"/>
  <c r="N179"/>
  <c r="N180"/>
  <c r="N181"/>
  <c r="N182"/>
  <c r="N183"/>
  <c r="N184"/>
  <c r="N185"/>
  <c r="N186"/>
  <c r="N187"/>
  <c r="N188"/>
  <c r="N189"/>
  <c r="N190"/>
  <c r="N191"/>
  <c r="N192"/>
  <c r="N193"/>
  <c r="N194"/>
  <c r="N195"/>
  <c r="N196"/>
  <c r="N197"/>
  <c r="N198"/>
  <c r="N199"/>
  <c r="N200"/>
  <c r="N201"/>
  <c r="N202"/>
  <c r="N203"/>
  <c r="N204"/>
  <c r="N205"/>
  <c r="N206"/>
  <c r="N207"/>
  <c r="N208"/>
  <c r="N209"/>
  <c r="N210"/>
  <c r="N211"/>
  <c r="N212"/>
  <c r="N213"/>
  <c r="N214"/>
  <c r="N215"/>
  <c r="N216"/>
  <c r="N217"/>
  <c r="N218"/>
  <c r="N219"/>
  <c r="N220"/>
  <c r="N221"/>
  <c r="N222"/>
  <c r="N223"/>
  <c r="N224"/>
  <c r="N225"/>
  <c r="N226"/>
  <c r="N227"/>
  <c r="N228"/>
  <c r="N229"/>
  <c r="N230"/>
  <c r="N231"/>
  <c r="N232"/>
  <c r="N233"/>
  <c r="N234"/>
  <c r="N235"/>
  <c r="N236"/>
  <c r="N237"/>
  <c r="N238"/>
  <c r="N239"/>
  <c r="N240"/>
  <c r="N241"/>
  <c r="N242"/>
  <c r="N243"/>
  <c r="N244"/>
  <c r="N245"/>
  <c r="N246"/>
  <c r="N247"/>
  <c r="N248"/>
  <c r="N249"/>
  <c r="N250"/>
  <c r="N251"/>
  <c r="N252"/>
  <c r="N253"/>
  <c r="N254"/>
  <c r="N255"/>
  <c r="N256"/>
  <c r="N257"/>
  <c r="N258"/>
  <c r="N259"/>
  <c r="N260"/>
  <c r="N261"/>
  <c r="N262"/>
  <c r="N263"/>
  <c r="N264"/>
  <c r="N265"/>
  <c r="N266"/>
  <c r="N267"/>
  <c r="N268"/>
  <c r="N269"/>
  <c r="N270"/>
  <c r="N271"/>
  <c r="N272"/>
  <c r="N273"/>
  <c r="N274"/>
  <c r="N275"/>
  <c r="N276"/>
  <c r="N277"/>
  <c r="N278"/>
  <c r="N279"/>
  <c r="N280"/>
  <c r="N281"/>
  <c r="N282"/>
  <c r="N283"/>
  <c r="N284"/>
  <c r="N285"/>
  <c r="N286"/>
  <c r="N287"/>
  <c r="N288"/>
  <c r="N289"/>
  <c r="N290"/>
  <c r="N291"/>
  <c r="N292"/>
  <c r="N293"/>
  <c r="N294"/>
  <c r="N295"/>
  <c r="N296"/>
  <c r="N297"/>
  <c r="N298"/>
  <c r="N299"/>
  <c r="N300"/>
  <c r="N301"/>
  <c r="N302"/>
  <c r="N303"/>
  <c r="N304"/>
  <c r="N305"/>
  <c r="N306"/>
  <c r="N307"/>
  <c r="N308"/>
  <c r="N309"/>
  <c r="N310"/>
  <c r="N311"/>
  <c r="N312"/>
  <c r="N313"/>
  <c r="N314"/>
  <c r="N315"/>
  <c r="N316"/>
  <c r="N317"/>
  <c r="N318"/>
  <c r="N19"/>
  <c r="P38"/>
  <c r="P58"/>
  <c r="P78"/>
  <c r="P98"/>
  <c r="P118"/>
  <c r="P138"/>
  <c r="P158"/>
  <c r="P178"/>
  <c r="P198"/>
  <c r="P218"/>
  <c r="P238"/>
  <c r="P258"/>
  <c r="P278"/>
  <c r="P298"/>
  <c r="P318"/>
  <c r="P37"/>
  <c r="P57"/>
  <c r="P77"/>
  <c r="P97"/>
  <c r="P117"/>
  <c r="P137"/>
  <c r="P157"/>
  <c r="P177"/>
  <c r="P197"/>
  <c r="P217"/>
  <c r="P237"/>
  <c r="P257"/>
  <c r="P277"/>
  <c r="P297"/>
  <c r="P317"/>
  <c r="P36"/>
  <c r="P56"/>
  <c r="P76"/>
  <c r="P96"/>
  <c r="P116"/>
  <c r="P136"/>
  <c r="P156"/>
  <c r="P176"/>
  <c r="P196"/>
  <c r="P216"/>
  <c r="P236"/>
  <c r="P256"/>
  <c r="P276"/>
  <c r="P296"/>
  <c r="P316"/>
  <c r="P55"/>
  <c r="P75"/>
  <c r="P95"/>
  <c r="P115"/>
  <c r="P135"/>
  <c r="P155"/>
  <c r="P175"/>
  <c r="P195"/>
  <c r="P215"/>
  <c r="P235"/>
  <c r="P255"/>
  <c r="P295"/>
  <c r="P315"/>
  <c r="P34"/>
  <c r="P54"/>
  <c r="P74"/>
  <c r="P94"/>
  <c r="P114"/>
  <c r="P134"/>
  <c r="P154"/>
  <c r="P174"/>
  <c r="P194"/>
  <c r="P234"/>
  <c r="P294"/>
  <c r="P33"/>
  <c r="P53"/>
  <c r="P93"/>
  <c r="P113"/>
  <c r="P153"/>
  <c r="P173"/>
  <c r="P213"/>
  <c r="P233"/>
  <c r="P273"/>
  <c r="P293"/>
  <c r="P52"/>
  <c r="P112"/>
  <c r="P152"/>
  <c r="P212"/>
  <c r="P252"/>
  <c r="P292"/>
  <c r="P31"/>
  <c r="P71"/>
  <c r="P111"/>
  <c r="P151"/>
  <c r="P191"/>
  <c r="P251"/>
  <c r="P311"/>
  <c r="P30"/>
  <c r="P70"/>
  <c r="P90"/>
  <c r="P130"/>
  <c r="P170"/>
  <c r="P210"/>
  <c r="P250"/>
  <c r="P290"/>
  <c r="P49"/>
  <c r="P129"/>
  <c r="P189"/>
  <c r="P229"/>
  <c r="P269"/>
  <c r="P309"/>
  <c r="P28"/>
  <c r="P48"/>
  <c r="P88"/>
  <c r="P108"/>
  <c r="P128"/>
  <c r="P168"/>
  <c r="P188"/>
  <c r="P228"/>
  <c r="P248"/>
  <c r="P288"/>
  <c r="P47"/>
  <c r="P127"/>
  <c r="P167"/>
  <c r="P207"/>
  <c r="P247"/>
  <c r="P287"/>
  <c r="P46"/>
  <c r="P106"/>
  <c r="P146"/>
  <c r="P206"/>
  <c r="P246"/>
  <c r="P306"/>
  <c r="P25"/>
  <c r="P85"/>
  <c r="P145"/>
  <c r="P185"/>
  <c r="P245"/>
  <c r="P285"/>
  <c r="P44"/>
  <c r="P84"/>
  <c r="P144"/>
  <c r="P224"/>
  <c r="P304"/>
  <c r="P83"/>
  <c r="P163"/>
  <c r="P243"/>
  <c r="P82"/>
  <c r="P162"/>
  <c r="P242"/>
  <c r="P302"/>
  <c r="P81"/>
  <c r="P181"/>
  <c r="P281"/>
  <c r="P40"/>
  <c r="P100"/>
  <c r="P180"/>
  <c r="P260"/>
  <c r="P35"/>
  <c r="P275"/>
  <c r="P214"/>
  <c r="P254"/>
  <c r="P274"/>
  <c r="P314"/>
  <c r="P73"/>
  <c r="P133"/>
  <c r="P193"/>
  <c r="P253"/>
  <c r="P313"/>
  <c r="P32"/>
  <c r="P72"/>
  <c r="P92"/>
  <c r="P132"/>
  <c r="P172"/>
  <c r="P192"/>
  <c r="P232"/>
  <c r="P272"/>
  <c r="P312"/>
  <c r="P51"/>
  <c r="P91"/>
  <c r="P131"/>
  <c r="P171"/>
  <c r="P211"/>
  <c r="P231"/>
  <c r="P271"/>
  <c r="P291"/>
  <c r="P50"/>
  <c r="P110"/>
  <c r="P150"/>
  <c r="P190"/>
  <c r="P230"/>
  <c r="P270"/>
  <c r="P310"/>
  <c r="P29"/>
  <c r="P69"/>
  <c r="P89"/>
  <c r="P109"/>
  <c r="P149"/>
  <c r="P169"/>
  <c r="P209"/>
  <c r="P249"/>
  <c r="P289"/>
  <c r="P68"/>
  <c r="P148"/>
  <c r="P208"/>
  <c r="P268"/>
  <c r="P308"/>
  <c r="P67"/>
  <c r="P87"/>
  <c r="P107"/>
  <c r="P147"/>
  <c r="P187"/>
  <c r="P227"/>
  <c r="P267"/>
  <c r="P307"/>
  <c r="P26"/>
  <c r="P66"/>
  <c r="P126"/>
  <c r="P166"/>
  <c r="P226"/>
  <c r="P286"/>
  <c r="P45"/>
  <c r="P105"/>
  <c r="P125"/>
  <c r="P165"/>
  <c r="P205"/>
  <c r="P265"/>
  <c r="P305"/>
  <c r="P64"/>
  <c r="P124"/>
  <c r="P164"/>
  <c r="P244"/>
  <c r="P284"/>
  <c r="P43"/>
  <c r="P103"/>
  <c r="P143"/>
  <c r="P223"/>
  <c r="P303"/>
  <c r="P42"/>
  <c r="P122"/>
  <c r="P202"/>
  <c r="P41"/>
  <c r="P101"/>
  <c r="P161"/>
  <c r="P201"/>
  <c r="P261"/>
  <c r="P301"/>
  <c r="P120"/>
  <c r="P220"/>
  <c r="P300"/>
  <c r="P59"/>
  <c r="P119"/>
  <c r="P159"/>
  <c r="P199"/>
  <c r="P239"/>
  <c r="P279"/>
  <c r="P86"/>
  <c r="P184"/>
  <c r="P63"/>
  <c r="P183"/>
  <c r="P263"/>
  <c r="P62"/>
  <c r="P142"/>
  <c r="P222"/>
  <c r="P282"/>
  <c r="P61"/>
  <c r="P141"/>
  <c r="P241"/>
  <c r="P60"/>
  <c r="P140"/>
  <c r="P200"/>
  <c r="P280"/>
  <c r="P39"/>
  <c r="P99"/>
  <c r="P179"/>
  <c r="P259"/>
  <c r="P27"/>
  <c r="P186"/>
  <c r="P266"/>
  <c r="P65"/>
  <c r="P225"/>
  <c r="P24"/>
  <c r="P104"/>
  <c r="P204"/>
  <c r="P264"/>
  <c r="P23"/>
  <c r="P123"/>
  <c r="P203"/>
  <c r="P283"/>
  <c r="P22"/>
  <c r="P102"/>
  <c r="P182"/>
  <c r="P262"/>
  <c r="P21"/>
  <c r="P121"/>
  <c r="P221"/>
  <c r="P80"/>
  <c r="P160"/>
  <c r="P240"/>
  <c r="P79"/>
  <c r="P139"/>
  <c r="P219"/>
  <c r="P299"/>
  <c r="M19" l="1"/>
  <c r="H18"/>
  <c r="C15"/>
  <c r="C14"/>
  <c r="O12"/>
  <c r="E10" s="1"/>
  <c r="G9"/>
  <c r="G7"/>
  <c r="I6"/>
  <c r="E6"/>
  <c r="B2"/>
  <c r="P19"/>
  <c r="P20"/>
  <c r="Q19" l="1"/>
  <c r="B19"/>
  <c r="O13"/>
  <c r="E11" s="1"/>
  <c r="E9" s="1"/>
  <c r="O19"/>
  <c r="G11"/>
  <c r="O12" i="12"/>
  <c r="E13" i="13" l="1"/>
  <c r="E14"/>
  <c r="E15" s="1"/>
  <c r="D19"/>
  <c r="D319" s="1"/>
  <c r="M20"/>
  <c r="C19"/>
  <c r="C319" s="1"/>
  <c r="B20"/>
  <c r="R19"/>
  <c r="C15" i="12"/>
  <c r="M21" i="13" l="1"/>
  <c r="B21"/>
  <c r="D20"/>
  <c r="C20"/>
  <c r="E19"/>
  <c r="E319" s="1"/>
  <c r="C14" i="12"/>
  <c r="M22" i="13" l="1"/>
  <c r="B22"/>
  <c r="D21"/>
  <c r="E21" s="1"/>
  <c r="C21"/>
  <c r="F19"/>
  <c r="S19"/>
  <c r="E20"/>
  <c r="G7" i="12"/>
  <c r="M23" i="13" l="1"/>
  <c r="B23"/>
  <c r="D22"/>
  <c r="E22" s="1"/>
  <c r="C22"/>
  <c r="G19"/>
  <c r="G319" s="1"/>
  <c r="H19"/>
  <c r="H319" s="1"/>
  <c r="O20"/>
  <c r="T19"/>
  <c r="Q20" s="1"/>
  <c r="E6" i="12"/>
  <c r="S22" i="13" l="1"/>
  <c r="O23" s="1"/>
  <c r="M24"/>
  <c r="B24"/>
  <c r="D23"/>
  <c r="E23" s="1"/>
  <c r="C23"/>
  <c r="R20"/>
  <c r="F20" s="1"/>
  <c r="S20"/>
  <c r="O21" s="1"/>
  <c r="S21" s="1"/>
  <c r="O22" s="1"/>
  <c r="I19"/>
  <c r="I319" s="1"/>
  <c r="H18" i="12"/>
  <c r="M25" i="13" l="1"/>
  <c r="B25"/>
  <c r="D24"/>
  <c r="C24"/>
  <c r="E24"/>
  <c r="S23"/>
  <c r="O24" s="1"/>
  <c r="G20"/>
  <c r="H20"/>
  <c r="T20"/>
  <c r="Q21" s="1"/>
  <c r="R21" s="1"/>
  <c r="E8" i="12"/>
  <c r="G11" s="1"/>
  <c r="S24" i="13" l="1"/>
  <c r="O25" s="1"/>
  <c r="M26"/>
  <c r="B26"/>
  <c r="D25"/>
  <c r="C25"/>
  <c r="E25"/>
  <c r="F21"/>
  <c r="T21"/>
  <c r="Q22" s="1"/>
  <c r="R22" s="1"/>
  <c r="I20"/>
  <c r="E10" i="12"/>
  <c r="S25" i="13" l="1"/>
  <c r="O26" s="1"/>
  <c r="M27"/>
  <c r="B27"/>
  <c r="D26"/>
  <c r="C26"/>
  <c r="E26"/>
  <c r="H21"/>
  <c r="G21"/>
  <c r="F22"/>
  <c r="T22"/>
  <c r="Q23" s="1"/>
  <c r="R23" s="1"/>
  <c r="B2" i="12"/>
  <c r="M19"/>
  <c r="B19"/>
  <c r="O13"/>
  <c r="G9"/>
  <c r="I6"/>
  <c r="P19"/>
  <c r="S26" i="13" l="1"/>
  <c r="O27" s="1"/>
  <c r="M28"/>
  <c r="B28"/>
  <c r="D27"/>
  <c r="C27"/>
  <c r="E27"/>
  <c r="H22"/>
  <c r="G22"/>
  <c r="I21"/>
  <c r="F23"/>
  <c r="T23"/>
  <c r="Q24" s="1"/>
  <c r="R24" s="1"/>
  <c r="E11" i="12"/>
  <c r="E9" s="1"/>
  <c r="M20"/>
  <c r="B20"/>
  <c r="C19"/>
  <c r="S27" i="13" l="1"/>
  <c r="O28" s="1"/>
  <c r="M29"/>
  <c r="B29"/>
  <c r="D28"/>
  <c r="C28"/>
  <c r="E28"/>
  <c r="H23"/>
  <c r="G23"/>
  <c r="F24"/>
  <c r="T24"/>
  <c r="Q25" s="1"/>
  <c r="R25" s="1"/>
  <c r="I22"/>
  <c r="E14" i="12"/>
  <c r="D20"/>
  <c r="E20" s="1"/>
  <c r="D19"/>
  <c r="E19" s="1"/>
  <c r="E13"/>
  <c r="Q19"/>
  <c r="B21"/>
  <c r="M21"/>
  <c r="C20"/>
  <c r="I6" i="10"/>
  <c r="P20" i="12"/>
  <c r="S28" i="13" l="1"/>
  <c r="O29" s="1"/>
  <c r="M30"/>
  <c r="B30"/>
  <c r="D29"/>
  <c r="C29"/>
  <c r="E29"/>
  <c r="H24"/>
  <c r="G24"/>
  <c r="F25"/>
  <c r="T25"/>
  <c r="Q26" s="1"/>
  <c r="R26" s="1"/>
  <c r="I23"/>
  <c r="E15" i="12"/>
  <c r="D21"/>
  <c r="E21" s="1"/>
  <c r="O19"/>
  <c r="R19" s="1"/>
  <c r="M22"/>
  <c r="B22"/>
  <c r="C21"/>
  <c r="C8" i="10"/>
  <c r="E10"/>
  <c r="G9"/>
  <c r="P21" i="12"/>
  <c r="S29" i="13" l="1"/>
  <c r="O30" s="1"/>
  <c r="M31"/>
  <c r="B31"/>
  <c r="D30"/>
  <c r="C30"/>
  <c r="E30"/>
  <c r="G25"/>
  <c r="H25"/>
  <c r="F26"/>
  <c r="T26"/>
  <c r="Q27" s="1"/>
  <c r="R27" s="1"/>
  <c r="I24"/>
  <c r="D22" i="12"/>
  <c r="E22" s="1"/>
  <c r="M23"/>
  <c r="B23"/>
  <c r="B19" i="10"/>
  <c r="C19" s="1"/>
  <c r="P22" i="12"/>
  <c r="S30" i="13" l="1"/>
  <c r="O31" s="1"/>
  <c r="M32"/>
  <c r="B32"/>
  <c r="D31"/>
  <c r="C31"/>
  <c r="E31"/>
  <c r="G26"/>
  <c r="H26"/>
  <c r="F27"/>
  <c r="T27"/>
  <c r="Q28" s="1"/>
  <c r="R28" s="1"/>
  <c r="I25"/>
  <c r="D23" i="12"/>
  <c r="E23" s="1"/>
  <c r="B24"/>
  <c r="C23"/>
  <c r="M24"/>
  <c r="D19" i="10"/>
  <c r="E19" s="1"/>
  <c r="C14"/>
  <c r="B20"/>
  <c r="P23" i="12"/>
  <c r="S31" i="13" l="1"/>
  <c r="O32" s="1"/>
  <c r="M33"/>
  <c r="B33"/>
  <c r="D32"/>
  <c r="C32"/>
  <c r="E32"/>
  <c r="H27"/>
  <c r="G27"/>
  <c r="I26"/>
  <c r="F28"/>
  <c r="T28"/>
  <c r="Q29" s="1"/>
  <c r="R29" s="1"/>
  <c r="D24" i="12"/>
  <c r="E24" s="1"/>
  <c r="B25"/>
  <c r="C24"/>
  <c r="M25"/>
  <c r="C20" i="10"/>
  <c r="D20"/>
  <c r="B21"/>
  <c r="E13"/>
  <c r="B2"/>
  <c r="M19"/>
  <c r="M20" s="1"/>
  <c r="M21" s="1"/>
  <c r="P24" i="12"/>
  <c r="S32" i="13" l="1"/>
  <c r="O33" s="1"/>
  <c r="M34"/>
  <c r="B34"/>
  <c r="D33"/>
  <c r="C33"/>
  <c r="E33"/>
  <c r="H28"/>
  <c r="G28"/>
  <c r="I27"/>
  <c r="F29"/>
  <c r="T29"/>
  <c r="Q30" s="1"/>
  <c r="R30" s="1"/>
  <c r="D25" i="12"/>
  <c r="E25" s="1"/>
  <c r="M26"/>
  <c r="B26"/>
  <c r="C25"/>
  <c r="C21" i="10"/>
  <c r="D21"/>
  <c r="E21" s="1"/>
  <c r="M22"/>
  <c r="E20"/>
  <c r="B22"/>
  <c r="E14"/>
  <c r="E6" s="1"/>
  <c r="P25" i="12"/>
  <c r="S33" i="13" l="1"/>
  <c r="O34" s="1"/>
  <c r="M35"/>
  <c r="B35"/>
  <c r="C34"/>
  <c r="D34"/>
  <c r="E34"/>
  <c r="H29"/>
  <c r="G29"/>
  <c r="I28"/>
  <c r="F30"/>
  <c r="T30"/>
  <c r="Q31" s="1"/>
  <c r="R31" s="1"/>
  <c r="D26" i="12"/>
  <c r="E26" s="1"/>
  <c r="M27"/>
  <c r="C26"/>
  <c r="B27"/>
  <c r="C22" i="10"/>
  <c r="D22"/>
  <c r="M23"/>
  <c r="B23"/>
  <c r="P26" i="12"/>
  <c r="S34" i="13" l="1"/>
  <c r="O35" s="1"/>
  <c r="M36"/>
  <c r="B36"/>
  <c r="D35"/>
  <c r="C35"/>
  <c r="E35"/>
  <c r="H30"/>
  <c r="G30"/>
  <c r="I29"/>
  <c r="F31"/>
  <c r="T31"/>
  <c r="Q32" s="1"/>
  <c r="R32" s="1"/>
  <c r="D27" i="12"/>
  <c r="E27" s="1"/>
  <c r="M28"/>
  <c r="C27"/>
  <c r="B28"/>
  <c r="C23" i="10"/>
  <c r="D23"/>
  <c r="M24"/>
  <c r="G11"/>
  <c r="I7"/>
  <c r="G7"/>
  <c r="B24"/>
  <c r="P27" i="12"/>
  <c r="P21" i="10"/>
  <c r="P20"/>
  <c r="P22"/>
  <c r="P23"/>
  <c r="P19"/>
  <c r="S35" i="13" l="1"/>
  <c r="O36" s="1"/>
  <c r="M37"/>
  <c r="B37"/>
  <c r="D36"/>
  <c r="C36"/>
  <c r="E36"/>
  <c r="H31"/>
  <c r="G31"/>
  <c r="F32"/>
  <c r="T32"/>
  <c r="Q33" s="1"/>
  <c r="R33" s="1"/>
  <c r="I30"/>
  <c r="Q19" i="10"/>
  <c r="D28" i="12"/>
  <c r="E28" s="1"/>
  <c r="B29"/>
  <c r="M29"/>
  <c r="C28"/>
  <c r="C24" i="10"/>
  <c r="D24"/>
  <c r="M25"/>
  <c r="O19"/>
  <c r="S19" s="1"/>
  <c r="O20" s="1"/>
  <c r="S20" s="1"/>
  <c r="E15"/>
  <c r="B25"/>
  <c r="P24"/>
  <c r="P28" i="12"/>
  <c r="S36" i="13" l="1"/>
  <c r="O37" s="1"/>
  <c r="M38"/>
  <c r="B38"/>
  <c r="D37"/>
  <c r="E37" s="1"/>
  <c r="C37"/>
  <c r="G32"/>
  <c r="H32"/>
  <c r="F33"/>
  <c r="T33"/>
  <c r="Q34" s="1"/>
  <c r="R34" s="1"/>
  <c r="I31"/>
  <c r="D29" i="12"/>
  <c r="E29" s="1"/>
  <c r="M30"/>
  <c r="B30"/>
  <c r="C29"/>
  <c r="C25" i="10"/>
  <c r="H25"/>
  <c r="G25"/>
  <c r="F25"/>
  <c r="I25"/>
  <c r="D25"/>
  <c r="M26"/>
  <c r="T19"/>
  <c r="Q20" s="1"/>
  <c r="R20" s="1"/>
  <c r="R19"/>
  <c r="F19" s="1"/>
  <c r="G19" s="1"/>
  <c r="H19" s="1"/>
  <c r="I19" s="1"/>
  <c r="B26"/>
  <c r="E22"/>
  <c r="O21"/>
  <c r="P25"/>
  <c r="P29" i="12"/>
  <c r="S37" i="13" l="1"/>
  <c r="O38" s="1"/>
  <c r="M39"/>
  <c r="B39"/>
  <c r="D38"/>
  <c r="C38"/>
  <c r="E38"/>
  <c r="H33"/>
  <c r="G33"/>
  <c r="I32"/>
  <c r="F34"/>
  <c r="T34"/>
  <c r="Q35" s="1"/>
  <c r="R35" s="1"/>
  <c r="D30" i="12"/>
  <c r="E30" s="1"/>
  <c r="M31"/>
  <c r="C30"/>
  <c r="B31"/>
  <c r="G22" i="10"/>
  <c r="C26"/>
  <c r="G26"/>
  <c r="H26"/>
  <c r="I26"/>
  <c r="F26"/>
  <c r="F20"/>
  <c r="G20" s="1"/>
  <c r="H20" s="1"/>
  <c r="I20" s="1"/>
  <c r="D26"/>
  <c r="M27"/>
  <c r="H22"/>
  <c r="I22" s="1"/>
  <c r="B27"/>
  <c r="E24"/>
  <c r="E23"/>
  <c r="S21"/>
  <c r="T20"/>
  <c r="Q21" s="1"/>
  <c r="R21" s="1"/>
  <c r="P26"/>
  <c r="P30" i="12"/>
  <c r="S38" i="13" l="1"/>
  <c r="O39" s="1"/>
  <c r="M40"/>
  <c r="B40"/>
  <c r="D39"/>
  <c r="C39"/>
  <c r="E39"/>
  <c r="H34"/>
  <c r="G34"/>
  <c r="I33"/>
  <c r="F35"/>
  <c r="T35"/>
  <c r="Q36" s="1"/>
  <c r="R36" s="1"/>
  <c r="D31" i="12"/>
  <c r="E31" s="1"/>
  <c r="M32"/>
  <c r="C31"/>
  <c r="B32"/>
  <c r="G23" i="10"/>
  <c r="H23" s="1"/>
  <c r="F21"/>
  <c r="G21" s="1"/>
  <c r="H21" s="1"/>
  <c r="I21" s="1"/>
  <c r="G24"/>
  <c r="H24" s="1"/>
  <c r="I24" s="1"/>
  <c r="C27"/>
  <c r="F27"/>
  <c r="G27"/>
  <c r="I27"/>
  <c r="H27"/>
  <c r="M28"/>
  <c r="D27"/>
  <c r="I23"/>
  <c r="B28"/>
  <c r="E25"/>
  <c r="O22"/>
  <c r="T21"/>
  <c r="Q22" s="1"/>
  <c r="P31" i="12"/>
  <c r="P27" i="10"/>
  <c r="S39" i="13" l="1"/>
  <c r="O40" s="1"/>
  <c r="M41"/>
  <c r="B41"/>
  <c r="D40"/>
  <c r="E40" s="1"/>
  <c r="C40"/>
  <c r="H35"/>
  <c r="G35"/>
  <c r="I34"/>
  <c r="F36"/>
  <c r="T36"/>
  <c r="Q37" s="1"/>
  <c r="R37" s="1"/>
  <c r="D32" i="12"/>
  <c r="E32" s="1"/>
  <c r="B33"/>
  <c r="C32"/>
  <c r="M33"/>
  <c r="C28" i="10"/>
  <c r="G28"/>
  <c r="H28"/>
  <c r="I28"/>
  <c r="F28"/>
  <c r="M29"/>
  <c r="D28"/>
  <c r="B29"/>
  <c r="E26"/>
  <c r="R22"/>
  <c r="F22" s="1"/>
  <c r="S22"/>
  <c r="P28"/>
  <c r="P32" i="12"/>
  <c r="S40" i="13" l="1"/>
  <c r="O41" s="1"/>
  <c r="M42"/>
  <c r="B42"/>
  <c r="D41"/>
  <c r="C41"/>
  <c r="E41"/>
  <c r="H36"/>
  <c r="G36"/>
  <c r="F37"/>
  <c r="T37"/>
  <c r="Q38" s="1"/>
  <c r="R38" s="1"/>
  <c r="I35"/>
  <c r="D33" i="12"/>
  <c r="E33" s="1"/>
  <c r="M34"/>
  <c r="B34"/>
  <c r="C33"/>
  <c r="C29" i="10"/>
  <c r="H29"/>
  <c r="F29"/>
  <c r="G29"/>
  <c r="I29"/>
  <c r="D29"/>
  <c r="M30"/>
  <c r="B30"/>
  <c r="T22"/>
  <c r="Q23" s="1"/>
  <c r="O23"/>
  <c r="E27"/>
  <c r="P29"/>
  <c r="P33" i="12"/>
  <c r="S41" i="13" l="1"/>
  <c r="O42" s="1"/>
  <c r="M43"/>
  <c r="B43"/>
  <c r="D42"/>
  <c r="C42"/>
  <c r="E42"/>
  <c r="H37"/>
  <c r="G37"/>
  <c r="I36"/>
  <c r="F38"/>
  <c r="T38"/>
  <c r="Q39" s="1"/>
  <c r="R39" s="1"/>
  <c r="D34" i="12"/>
  <c r="E34" s="1"/>
  <c r="M35"/>
  <c r="B35"/>
  <c r="C34"/>
  <c r="C30" i="10"/>
  <c r="G30"/>
  <c r="I30"/>
  <c r="F30"/>
  <c r="H30"/>
  <c r="M31"/>
  <c r="D30"/>
  <c r="B31"/>
  <c r="E28"/>
  <c r="R23"/>
  <c r="F23" s="1"/>
  <c r="S23"/>
  <c r="P30"/>
  <c r="P34" i="12"/>
  <c r="S42" i="13" l="1"/>
  <c r="O43" s="1"/>
  <c r="M44"/>
  <c r="B44"/>
  <c r="D43"/>
  <c r="E43" s="1"/>
  <c r="C43"/>
  <c r="H38"/>
  <c r="G38"/>
  <c r="I37"/>
  <c r="F39"/>
  <c r="T39"/>
  <c r="Q40" s="1"/>
  <c r="R40" s="1"/>
  <c r="D35" i="12"/>
  <c r="E35" s="1"/>
  <c r="B36"/>
  <c r="M36"/>
  <c r="C35"/>
  <c r="C31" i="10"/>
  <c r="I31"/>
  <c r="F31"/>
  <c r="G31"/>
  <c r="H31"/>
  <c r="M32"/>
  <c r="D31"/>
  <c r="B32"/>
  <c r="T23"/>
  <c r="Q24" s="1"/>
  <c r="O24"/>
  <c r="E29"/>
  <c r="P31"/>
  <c r="P35" i="12"/>
  <c r="S43" i="13" l="1"/>
  <c r="O44" s="1"/>
  <c r="M45"/>
  <c r="B45"/>
  <c r="D44"/>
  <c r="C44"/>
  <c r="E44"/>
  <c r="H39"/>
  <c r="G39"/>
  <c r="F40"/>
  <c r="T40"/>
  <c r="Q41" s="1"/>
  <c r="R41" s="1"/>
  <c r="I38"/>
  <c r="D36" i="12"/>
  <c r="E36" s="1"/>
  <c r="B37"/>
  <c r="M37"/>
  <c r="C36"/>
  <c r="C32" i="10"/>
  <c r="G32"/>
  <c r="H32"/>
  <c r="I32"/>
  <c r="F32"/>
  <c r="D32"/>
  <c r="M33"/>
  <c r="B33"/>
  <c r="E30"/>
  <c r="R24"/>
  <c r="F24" s="1"/>
  <c r="S24"/>
  <c r="P32"/>
  <c r="P36" i="12"/>
  <c r="S44" i="13" l="1"/>
  <c r="O45" s="1"/>
  <c r="M46"/>
  <c r="B46"/>
  <c r="D45"/>
  <c r="C45"/>
  <c r="E45"/>
  <c r="H40"/>
  <c r="G40"/>
  <c r="I39"/>
  <c r="F41"/>
  <c r="T41"/>
  <c r="Q42" s="1"/>
  <c r="R42" s="1"/>
  <c r="D37" i="12"/>
  <c r="E37" s="1"/>
  <c r="M38"/>
  <c r="B38"/>
  <c r="C37"/>
  <c r="C33" i="10"/>
  <c r="F33"/>
  <c r="G33"/>
  <c r="H33"/>
  <c r="I33"/>
  <c r="D33"/>
  <c r="M34"/>
  <c r="B34"/>
  <c r="E31"/>
  <c r="O25"/>
  <c r="T24"/>
  <c r="Q25" s="1"/>
  <c r="P33"/>
  <c r="P37" i="12"/>
  <c r="S45" i="13" l="1"/>
  <c r="O46" s="1"/>
  <c r="M47"/>
  <c r="B47"/>
  <c r="D46"/>
  <c r="E46" s="1"/>
  <c r="C46"/>
  <c r="G41"/>
  <c r="H41"/>
  <c r="F42"/>
  <c r="T42"/>
  <c r="Q43" s="1"/>
  <c r="R43" s="1"/>
  <c r="I40"/>
  <c r="D38" i="12"/>
  <c r="E38" s="1"/>
  <c r="M39"/>
  <c r="C38"/>
  <c r="B39"/>
  <c r="C34" i="10"/>
  <c r="F34"/>
  <c r="H34"/>
  <c r="G34"/>
  <c r="I34"/>
  <c r="D34"/>
  <c r="M35"/>
  <c r="B35"/>
  <c r="E32"/>
  <c r="R25"/>
  <c r="S25"/>
  <c r="P34"/>
  <c r="P38" i="12"/>
  <c r="S46" i="13" l="1"/>
  <c r="O47" s="1"/>
  <c r="M48"/>
  <c r="B48"/>
  <c r="D47"/>
  <c r="C47"/>
  <c r="E47"/>
  <c r="H42"/>
  <c r="G42"/>
  <c r="I41"/>
  <c r="F43"/>
  <c r="T43"/>
  <c r="Q44" s="1"/>
  <c r="R44" s="1"/>
  <c r="D39" i="12"/>
  <c r="E39" s="1"/>
  <c r="M40"/>
  <c r="C39"/>
  <c r="B40"/>
  <c r="C35" i="10"/>
  <c r="F35"/>
  <c r="H35"/>
  <c r="G35"/>
  <c r="I35"/>
  <c r="M36"/>
  <c r="D35"/>
  <c r="B36"/>
  <c r="E33"/>
  <c r="T25"/>
  <c r="Q26" s="1"/>
  <c r="O26"/>
  <c r="P35"/>
  <c r="P39" i="12"/>
  <c r="S47" i="13" l="1"/>
  <c r="O48" s="1"/>
  <c r="M49"/>
  <c r="B49"/>
  <c r="D48"/>
  <c r="C48"/>
  <c r="E48"/>
  <c r="H43"/>
  <c r="G43"/>
  <c r="F44"/>
  <c r="T44"/>
  <c r="Q45" s="1"/>
  <c r="R45" s="1"/>
  <c r="I42"/>
  <c r="D40" i="12"/>
  <c r="E40" s="1"/>
  <c r="B41"/>
  <c r="M41"/>
  <c r="C40"/>
  <c r="C36" i="10"/>
  <c r="G36"/>
  <c r="H36"/>
  <c r="I36"/>
  <c r="F36"/>
  <c r="D36"/>
  <c r="M37"/>
  <c r="B37"/>
  <c r="E34"/>
  <c r="R26"/>
  <c r="S26"/>
  <c r="P36"/>
  <c r="P40" i="12"/>
  <c r="S48" i="13" l="1"/>
  <c r="O49" s="1"/>
  <c r="M50"/>
  <c r="B50"/>
  <c r="D49"/>
  <c r="E49" s="1"/>
  <c r="C49"/>
  <c r="G44"/>
  <c r="H44"/>
  <c r="F45"/>
  <c r="T45"/>
  <c r="Q46" s="1"/>
  <c r="R46" s="1"/>
  <c r="I43"/>
  <c r="D41" i="12"/>
  <c r="E41" s="1"/>
  <c r="M42"/>
  <c r="B42"/>
  <c r="C41"/>
  <c r="C37" i="10"/>
  <c r="F37"/>
  <c r="H37"/>
  <c r="G37"/>
  <c r="I37"/>
  <c r="M38"/>
  <c r="D37"/>
  <c r="B38"/>
  <c r="E35"/>
  <c r="T26"/>
  <c r="Q27" s="1"/>
  <c r="O27"/>
  <c r="P37"/>
  <c r="P41" i="12"/>
  <c r="S49" i="13" l="1"/>
  <c r="O50" s="1"/>
  <c r="M51"/>
  <c r="B51"/>
  <c r="D50"/>
  <c r="C50"/>
  <c r="E50"/>
  <c r="H45"/>
  <c r="G45"/>
  <c r="F46"/>
  <c r="T46"/>
  <c r="Q47" s="1"/>
  <c r="R47" s="1"/>
  <c r="I44"/>
  <c r="D42" i="12"/>
  <c r="E42" s="1"/>
  <c r="M43"/>
  <c r="B43"/>
  <c r="C42"/>
  <c r="C38" i="10"/>
  <c r="H38"/>
  <c r="I38"/>
  <c r="F38"/>
  <c r="G38"/>
  <c r="D38"/>
  <c r="M39"/>
  <c r="B39"/>
  <c r="E36"/>
  <c r="R27"/>
  <c r="S27"/>
  <c r="P38"/>
  <c r="P42" i="12"/>
  <c r="S50" i="13" l="1"/>
  <c r="O51" s="1"/>
  <c r="M52"/>
  <c r="B52"/>
  <c r="D51"/>
  <c r="C51"/>
  <c r="E51"/>
  <c r="G46"/>
  <c r="H46"/>
  <c r="I45"/>
  <c r="F47"/>
  <c r="T47"/>
  <c r="Q48" s="1"/>
  <c r="R48" s="1"/>
  <c r="D43" i="12"/>
  <c r="E43" s="1"/>
  <c r="M44"/>
  <c r="C43"/>
  <c r="B44"/>
  <c r="C39" i="10"/>
  <c r="G39"/>
  <c r="H39"/>
  <c r="I39"/>
  <c r="F39"/>
  <c r="M40"/>
  <c r="D39"/>
  <c r="B40"/>
  <c r="E37"/>
  <c r="O28"/>
  <c r="T27"/>
  <c r="Q28" s="1"/>
  <c r="P39"/>
  <c r="P43" i="12"/>
  <c r="S51" i="13" l="1"/>
  <c r="O52" s="1"/>
  <c r="C52"/>
  <c r="M53"/>
  <c r="B53"/>
  <c r="D52"/>
  <c r="E52" s="1"/>
  <c r="G47"/>
  <c r="H47"/>
  <c r="F48"/>
  <c r="T48"/>
  <c r="Q49" s="1"/>
  <c r="R49" s="1"/>
  <c r="I46"/>
  <c r="D44" i="12"/>
  <c r="E44" s="1"/>
  <c r="B45"/>
  <c r="M45"/>
  <c r="C44"/>
  <c r="C40" i="10"/>
  <c r="G40"/>
  <c r="F40"/>
  <c r="H40"/>
  <c r="I40"/>
  <c r="M41"/>
  <c r="D40"/>
  <c r="B41"/>
  <c r="R28"/>
  <c r="S28"/>
  <c r="E38"/>
  <c r="P40"/>
  <c r="P44" i="12"/>
  <c r="S52" i="13" l="1"/>
  <c r="O53" s="1"/>
  <c r="M54"/>
  <c r="B54"/>
  <c r="D53"/>
  <c r="C53"/>
  <c r="E53"/>
  <c r="H48"/>
  <c r="G48"/>
  <c r="F49"/>
  <c r="T49"/>
  <c r="Q50" s="1"/>
  <c r="R50" s="1"/>
  <c r="I47"/>
  <c r="D45" i="12"/>
  <c r="E45" s="1"/>
  <c r="M46"/>
  <c r="B46"/>
  <c r="C45"/>
  <c r="C41" i="10"/>
  <c r="H41"/>
  <c r="I41"/>
  <c r="G41"/>
  <c r="F41"/>
  <c r="M42"/>
  <c r="D41"/>
  <c r="B42"/>
  <c r="E39"/>
  <c r="T28"/>
  <c r="Q29" s="1"/>
  <c r="O29"/>
  <c r="P41"/>
  <c r="P45" i="12"/>
  <c r="S53" i="13" l="1"/>
  <c r="O54" s="1"/>
  <c r="M55"/>
  <c r="B55"/>
  <c r="D54"/>
  <c r="C54"/>
  <c r="E54"/>
  <c r="H49"/>
  <c r="G49"/>
  <c r="I48"/>
  <c r="F50"/>
  <c r="T50"/>
  <c r="Q51" s="1"/>
  <c r="R51" s="1"/>
  <c r="D46" i="12"/>
  <c r="E46" s="1"/>
  <c r="M47"/>
  <c r="C46"/>
  <c r="B47"/>
  <c r="C42" i="10"/>
  <c r="H42"/>
  <c r="I42"/>
  <c r="F42"/>
  <c r="G42"/>
  <c r="M43"/>
  <c r="D42"/>
  <c r="B43"/>
  <c r="E40"/>
  <c r="R29"/>
  <c r="S29"/>
  <c r="P42"/>
  <c r="P46" i="12"/>
  <c r="S54" i="13" l="1"/>
  <c r="O55" s="1"/>
  <c r="M56"/>
  <c r="B56"/>
  <c r="D55"/>
  <c r="E55" s="1"/>
  <c r="C55"/>
  <c r="H50"/>
  <c r="G50"/>
  <c r="F51"/>
  <c r="T51"/>
  <c r="Q52" s="1"/>
  <c r="R52" s="1"/>
  <c r="I49"/>
  <c r="D47" i="12"/>
  <c r="E47" s="1"/>
  <c r="M48"/>
  <c r="C47"/>
  <c r="B48"/>
  <c r="C43" i="10"/>
  <c r="H43"/>
  <c r="G43"/>
  <c r="I43"/>
  <c r="F43"/>
  <c r="M44"/>
  <c r="D43"/>
  <c r="B44"/>
  <c r="E41"/>
  <c r="T29"/>
  <c r="Q30" s="1"/>
  <c r="O30"/>
  <c r="P43"/>
  <c r="P47" i="12"/>
  <c r="S55" i="13" l="1"/>
  <c r="O56" s="1"/>
  <c r="M57"/>
  <c r="B57"/>
  <c r="D56"/>
  <c r="C56"/>
  <c r="E56"/>
  <c r="H51"/>
  <c r="G51"/>
  <c r="F52"/>
  <c r="T52"/>
  <c r="Q53" s="1"/>
  <c r="R53" s="1"/>
  <c r="I50"/>
  <c r="D48" i="12"/>
  <c r="E48" s="1"/>
  <c r="B49"/>
  <c r="M49"/>
  <c r="C48"/>
  <c r="C44" i="10"/>
  <c r="G44"/>
  <c r="H44"/>
  <c r="I44"/>
  <c r="F44"/>
  <c r="D44"/>
  <c r="M45"/>
  <c r="B45"/>
  <c r="E42"/>
  <c r="R30"/>
  <c r="S30"/>
  <c r="P44"/>
  <c r="P48" i="12"/>
  <c r="S56" i="13" l="1"/>
  <c r="O57" s="1"/>
  <c r="M58"/>
  <c r="B58"/>
  <c r="D57"/>
  <c r="C57"/>
  <c r="E57"/>
  <c r="I51"/>
  <c r="G52"/>
  <c r="H52"/>
  <c r="F53"/>
  <c r="T53"/>
  <c r="Q54" s="1"/>
  <c r="R54" s="1"/>
  <c r="D49" i="12"/>
  <c r="E49" s="1"/>
  <c r="M50"/>
  <c r="B50"/>
  <c r="C49"/>
  <c r="C45" i="10"/>
  <c r="F45"/>
  <c r="G45"/>
  <c r="H45"/>
  <c r="I45"/>
  <c r="D45"/>
  <c r="M46"/>
  <c r="B46"/>
  <c r="E43"/>
  <c r="O31"/>
  <c r="T30"/>
  <c r="Q31" s="1"/>
  <c r="P45"/>
  <c r="P49" i="12"/>
  <c r="S57" i="13" l="1"/>
  <c r="O58" s="1"/>
  <c r="M59"/>
  <c r="B59"/>
  <c r="D58"/>
  <c r="E58" s="1"/>
  <c r="C58"/>
  <c r="H53"/>
  <c r="G53"/>
  <c r="F54"/>
  <c r="T54"/>
  <c r="Q55" s="1"/>
  <c r="R55" s="1"/>
  <c r="I52"/>
  <c r="D50" i="12"/>
  <c r="E50" s="1"/>
  <c r="M51"/>
  <c r="C50"/>
  <c r="B51"/>
  <c r="C46" i="10"/>
  <c r="I46"/>
  <c r="F46"/>
  <c r="G46"/>
  <c r="H46"/>
  <c r="M47"/>
  <c r="D46"/>
  <c r="B47"/>
  <c r="E44"/>
  <c r="R31"/>
  <c r="S31"/>
  <c r="P46"/>
  <c r="P50" i="12"/>
  <c r="S58" i="13" l="1"/>
  <c r="O59" s="1"/>
  <c r="M60"/>
  <c r="B60"/>
  <c r="D59"/>
  <c r="C59"/>
  <c r="E59"/>
  <c r="H54"/>
  <c r="G54"/>
  <c r="F55"/>
  <c r="T55"/>
  <c r="Q56" s="1"/>
  <c r="R56" s="1"/>
  <c r="I53"/>
  <c r="D51" i="12"/>
  <c r="E51" s="1"/>
  <c r="C51"/>
  <c r="M52"/>
  <c r="B52"/>
  <c r="C47" i="10"/>
  <c r="I47"/>
  <c r="F47"/>
  <c r="G47"/>
  <c r="H47"/>
  <c r="D47"/>
  <c r="M48"/>
  <c r="B48"/>
  <c r="E45"/>
  <c r="T31"/>
  <c r="Q32" s="1"/>
  <c r="O32"/>
  <c r="P47"/>
  <c r="P51" i="12"/>
  <c r="S59" i="13" l="1"/>
  <c r="O60" s="1"/>
  <c r="M61"/>
  <c r="B61"/>
  <c r="D60"/>
  <c r="C60"/>
  <c r="E60"/>
  <c r="G55"/>
  <c r="H55"/>
  <c r="I54"/>
  <c r="F56"/>
  <c r="T56"/>
  <c r="Q57" s="1"/>
  <c r="R57" s="1"/>
  <c r="D52" i="12"/>
  <c r="E52" s="1"/>
  <c r="C52"/>
  <c r="B53"/>
  <c r="M53"/>
  <c r="C48" i="10"/>
  <c r="G48"/>
  <c r="H48"/>
  <c r="I48"/>
  <c r="F48"/>
  <c r="M49"/>
  <c r="D48"/>
  <c r="B49"/>
  <c r="E46"/>
  <c r="R32"/>
  <c r="S32"/>
  <c r="P48"/>
  <c r="P52" i="12"/>
  <c r="S60" i="13" l="1"/>
  <c r="O61" s="1"/>
  <c r="M62"/>
  <c r="B62"/>
  <c r="D61"/>
  <c r="E61" s="1"/>
  <c r="C61"/>
  <c r="H56"/>
  <c r="G56"/>
  <c r="F57"/>
  <c r="T57"/>
  <c r="Q58" s="1"/>
  <c r="R58" s="1"/>
  <c r="I55"/>
  <c r="D53" i="12"/>
  <c r="E53" s="1"/>
  <c r="M54"/>
  <c r="B54"/>
  <c r="C53"/>
  <c r="C49" i="10"/>
  <c r="I49"/>
  <c r="H49"/>
  <c r="G49"/>
  <c r="F49"/>
  <c r="M50"/>
  <c r="D49"/>
  <c r="B50"/>
  <c r="T32"/>
  <c r="Q33" s="1"/>
  <c r="O33"/>
  <c r="E47"/>
  <c r="P49"/>
  <c r="P53" i="12"/>
  <c r="S61" i="13" l="1"/>
  <c r="O62" s="1"/>
  <c r="M63"/>
  <c r="B63"/>
  <c r="D62"/>
  <c r="C62"/>
  <c r="E62"/>
  <c r="G57"/>
  <c r="H57"/>
  <c r="F58"/>
  <c r="T58"/>
  <c r="Q59" s="1"/>
  <c r="R59" s="1"/>
  <c r="I56"/>
  <c r="D54" i="12"/>
  <c r="E54" s="1"/>
  <c r="C54"/>
  <c r="M55"/>
  <c r="B55"/>
  <c r="C50" i="10"/>
  <c r="G50"/>
  <c r="H50"/>
  <c r="F50"/>
  <c r="I50"/>
  <c r="M51"/>
  <c r="D50"/>
  <c r="B51"/>
  <c r="E48"/>
  <c r="R33"/>
  <c r="S33"/>
  <c r="P50"/>
  <c r="P54" i="12"/>
  <c r="S62" i="13" l="1"/>
  <c r="O63" s="1"/>
  <c r="M64"/>
  <c r="B64"/>
  <c r="D63"/>
  <c r="C63"/>
  <c r="E63"/>
  <c r="H58"/>
  <c r="G58"/>
  <c r="I57"/>
  <c r="F59"/>
  <c r="T59"/>
  <c r="Q60" s="1"/>
  <c r="R60" s="1"/>
  <c r="D55" i="12"/>
  <c r="E55" s="1"/>
  <c r="C55"/>
  <c r="M56"/>
  <c r="B56"/>
  <c r="C51" i="10"/>
  <c r="G51"/>
  <c r="F51"/>
  <c r="I51"/>
  <c r="H51"/>
  <c r="M52"/>
  <c r="D51"/>
  <c r="B52"/>
  <c r="E49"/>
  <c r="O34"/>
  <c r="T33"/>
  <c r="Q34" s="1"/>
  <c r="P51"/>
  <c r="P55" i="12"/>
  <c r="S63" i="13" l="1"/>
  <c r="O64" s="1"/>
  <c r="M65"/>
  <c r="B65"/>
  <c r="D64"/>
  <c r="E64" s="1"/>
  <c r="C64"/>
  <c r="H59"/>
  <c r="G59"/>
  <c r="F60"/>
  <c r="T60"/>
  <c r="Q61" s="1"/>
  <c r="R61" s="1"/>
  <c r="I58"/>
  <c r="D56" i="12"/>
  <c r="E56" s="1"/>
  <c r="C56"/>
  <c r="B57"/>
  <c r="M57"/>
  <c r="C52" i="10"/>
  <c r="G52"/>
  <c r="H52"/>
  <c r="I52"/>
  <c r="F52"/>
  <c r="M53"/>
  <c r="D52"/>
  <c r="B53"/>
  <c r="R34"/>
  <c r="S34"/>
  <c r="E50"/>
  <c r="P52"/>
  <c r="P56" i="12"/>
  <c r="S64" i="13" l="1"/>
  <c r="O65" s="1"/>
  <c r="M66"/>
  <c r="B66"/>
  <c r="D65"/>
  <c r="C65"/>
  <c r="E65"/>
  <c r="H60"/>
  <c r="G60"/>
  <c r="F61"/>
  <c r="T61"/>
  <c r="Q62" s="1"/>
  <c r="R62" s="1"/>
  <c r="I59"/>
  <c r="D57" i="12"/>
  <c r="E57" s="1"/>
  <c r="M58"/>
  <c r="B58"/>
  <c r="C57"/>
  <c r="C53" i="10"/>
  <c r="H53"/>
  <c r="F53"/>
  <c r="G53"/>
  <c r="I53"/>
  <c r="D53"/>
  <c r="M54"/>
  <c r="B54"/>
  <c r="E51"/>
  <c r="T34"/>
  <c r="Q35" s="1"/>
  <c r="O35"/>
  <c r="P53"/>
  <c r="P57" i="12"/>
  <c r="S65" i="13" l="1"/>
  <c r="O66" s="1"/>
  <c r="M67"/>
  <c r="B67"/>
  <c r="D66"/>
  <c r="C66"/>
  <c r="E66"/>
  <c r="G61"/>
  <c r="H61"/>
  <c r="I60"/>
  <c r="F62"/>
  <c r="T62"/>
  <c r="Q63" s="1"/>
  <c r="R63" s="1"/>
  <c r="B59" i="12"/>
  <c r="M59"/>
  <c r="D58"/>
  <c r="E58" s="1"/>
  <c r="C58"/>
  <c r="C54" i="10"/>
  <c r="H54"/>
  <c r="F54"/>
  <c r="G54"/>
  <c r="I54"/>
  <c r="D54"/>
  <c r="M55"/>
  <c r="B55"/>
  <c r="E52"/>
  <c r="R35"/>
  <c r="S35"/>
  <c r="P54"/>
  <c r="P58" i="12"/>
  <c r="S66" i="13" l="1"/>
  <c r="O67" s="1"/>
  <c r="M68"/>
  <c r="B68"/>
  <c r="D67"/>
  <c r="E67" s="1"/>
  <c r="C67"/>
  <c r="G62"/>
  <c r="H62"/>
  <c r="F63"/>
  <c r="T63"/>
  <c r="Q64" s="1"/>
  <c r="R64" s="1"/>
  <c r="I61"/>
  <c r="C59" i="12"/>
  <c r="D59"/>
  <c r="E59" s="1"/>
  <c r="B60"/>
  <c r="M60"/>
  <c r="C55" i="10"/>
  <c r="F55"/>
  <c r="H55"/>
  <c r="I55"/>
  <c r="G55"/>
  <c r="M56"/>
  <c r="D55"/>
  <c r="B56"/>
  <c r="E53"/>
  <c r="T35"/>
  <c r="Q36" s="1"/>
  <c r="O36"/>
  <c r="P55"/>
  <c r="P59" i="12"/>
  <c r="S67" i="13" l="1"/>
  <c r="O68" s="1"/>
  <c r="M69"/>
  <c r="B69"/>
  <c r="D68"/>
  <c r="C68"/>
  <c r="E68"/>
  <c r="H63"/>
  <c r="G63"/>
  <c r="F64"/>
  <c r="T64"/>
  <c r="Q65" s="1"/>
  <c r="R65" s="1"/>
  <c r="I62"/>
  <c r="C60" i="12"/>
  <c r="B61"/>
  <c r="D60"/>
  <c r="E60" s="1"/>
  <c r="M61"/>
  <c r="C56" i="10"/>
  <c r="G56"/>
  <c r="H56"/>
  <c r="F56"/>
  <c r="I56"/>
  <c r="D56"/>
  <c r="M57"/>
  <c r="B57"/>
  <c r="R36"/>
  <c r="S36"/>
  <c r="P56"/>
  <c r="P60" i="12"/>
  <c r="S68" i="13" l="1"/>
  <c r="O69" s="1"/>
  <c r="M70"/>
  <c r="B70"/>
  <c r="D69"/>
  <c r="C69"/>
  <c r="E69"/>
  <c r="G64"/>
  <c r="H64"/>
  <c r="I63"/>
  <c r="F65"/>
  <c r="T65"/>
  <c r="Q66" s="1"/>
  <c r="R66" s="1"/>
  <c r="C61" i="12"/>
  <c r="B62"/>
  <c r="D61"/>
  <c r="E61" s="1"/>
  <c r="M62"/>
  <c r="C57" i="10"/>
  <c r="F57"/>
  <c r="I57"/>
  <c r="G57"/>
  <c r="H57"/>
  <c r="D57"/>
  <c r="M58"/>
  <c r="B58"/>
  <c r="E54"/>
  <c r="E55"/>
  <c r="O37"/>
  <c r="T36"/>
  <c r="Q37" s="1"/>
  <c r="P57"/>
  <c r="P61" i="12"/>
  <c r="S69" i="13" l="1"/>
  <c r="O70" s="1"/>
  <c r="M71"/>
  <c r="B71"/>
  <c r="D70"/>
  <c r="E70" s="1"/>
  <c r="C70"/>
  <c r="G65"/>
  <c r="H65"/>
  <c r="F66"/>
  <c r="T66"/>
  <c r="Q67" s="1"/>
  <c r="R67" s="1"/>
  <c r="I64"/>
  <c r="C62" i="12"/>
  <c r="B63"/>
  <c r="D62"/>
  <c r="E62" s="1"/>
  <c r="M63"/>
  <c r="C58" i="10"/>
  <c r="F58"/>
  <c r="G58"/>
  <c r="H58"/>
  <c r="I58"/>
  <c r="D58"/>
  <c r="R37"/>
  <c r="S37"/>
  <c r="E56"/>
  <c r="P58"/>
  <c r="P62" i="12"/>
  <c r="S70" i="13" l="1"/>
  <c r="O71" s="1"/>
  <c r="M72"/>
  <c r="B72"/>
  <c r="D71"/>
  <c r="C71"/>
  <c r="E71"/>
  <c r="H66"/>
  <c r="G66"/>
  <c r="F67"/>
  <c r="T67"/>
  <c r="Q68" s="1"/>
  <c r="R68" s="1"/>
  <c r="I65"/>
  <c r="C63" i="12"/>
  <c r="D63"/>
  <c r="E63" s="1"/>
  <c r="B64"/>
  <c r="M64"/>
  <c r="T37" i="10"/>
  <c r="Q38" s="1"/>
  <c r="O38"/>
  <c r="C60"/>
  <c r="E57"/>
  <c r="P63" i="12"/>
  <c r="S71" i="13" l="1"/>
  <c r="O72" s="1"/>
  <c r="M73"/>
  <c r="B73"/>
  <c r="D72"/>
  <c r="C72"/>
  <c r="E72"/>
  <c r="G67"/>
  <c r="H67"/>
  <c r="I66"/>
  <c r="F68"/>
  <c r="T68"/>
  <c r="Q69" s="1"/>
  <c r="R69" s="1"/>
  <c r="C64" i="12"/>
  <c r="B65"/>
  <c r="D64"/>
  <c r="E64" s="1"/>
  <c r="M65"/>
  <c r="D60" i="10"/>
  <c r="G10" s="1"/>
  <c r="R38"/>
  <c r="S38"/>
  <c r="E58"/>
  <c r="P64" i="12"/>
  <c r="S72" i="13" l="1"/>
  <c r="O73" s="1"/>
  <c r="M74"/>
  <c r="B74"/>
  <c r="D73"/>
  <c r="E73" s="1"/>
  <c r="C73"/>
  <c r="H68"/>
  <c r="G68"/>
  <c r="F69"/>
  <c r="T69"/>
  <c r="Q70" s="1"/>
  <c r="R70" s="1"/>
  <c r="I67"/>
  <c r="D65" i="12"/>
  <c r="E65" s="1"/>
  <c r="C65"/>
  <c r="B66"/>
  <c r="M66"/>
  <c r="G13" i="10"/>
  <c r="G60"/>
  <c r="H60"/>
  <c r="E60"/>
  <c r="T38"/>
  <c r="Q39" s="1"/>
  <c r="O39"/>
  <c r="P65" i="12"/>
  <c r="S73" i="13" l="1"/>
  <c r="O74" s="1"/>
  <c r="M75"/>
  <c r="B75"/>
  <c r="D74"/>
  <c r="C74"/>
  <c r="E74"/>
  <c r="H69"/>
  <c r="G69"/>
  <c r="I68"/>
  <c r="F70"/>
  <c r="T70"/>
  <c r="Q71" s="1"/>
  <c r="R71" s="1"/>
  <c r="M67" i="12"/>
  <c r="B67"/>
  <c r="D66"/>
  <c r="E66" s="1"/>
  <c r="C66"/>
  <c r="I60" i="10"/>
  <c r="R39"/>
  <c r="S39"/>
  <c r="P66" i="12"/>
  <c r="S74" i="13" l="1"/>
  <c r="O75" s="1"/>
  <c r="M76"/>
  <c r="B76"/>
  <c r="D75"/>
  <c r="C75"/>
  <c r="E75"/>
  <c r="H70"/>
  <c r="G70"/>
  <c r="I69"/>
  <c r="F71"/>
  <c r="T71"/>
  <c r="Q72" s="1"/>
  <c r="R72" s="1"/>
  <c r="C67" i="12"/>
  <c r="B68"/>
  <c r="D67"/>
  <c r="E67" s="1"/>
  <c r="M68"/>
  <c r="G12" i="10"/>
  <c r="G14" s="1"/>
  <c r="G15" s="1"/>
  <c r="O40"/>
  <c r="T39"/>
  <c r="Q40" s="1"/>
  <c r="P67" i="12"/>
  <c r="S75" i="13" l="1"/>
  <c r="O76" s="1"/>
  <c r="M77"/>
  <c r="B77"/>
  <c r="D76"/>
  <c r="E76" s="1"/>
  <c r="C76"/>
  <c r="G71"/>
  <c r="H71"/>
  <c r="F72"/>
  <c r="T72"/>
  <c r="Q73" s="1"/>
  <c r="R73" s="1"/>
  <c r="I70"/>
  <c r="C68" i="12"/>
  <c r="B69"/>
  <c r="D68"/>
  <c r="E68" s="1"/>
  <c r="M69"/>
  <c r="R40" i="10"/>
  <c r="S40"/>
  <c r="P68" i="12"/>
  <c r="S76" i="13" l="1"/>
  <c r="O77" s="1"/>
  <c r="M78"/>
  <c r="B78"/>
  <c r="D77"/>
  <c r="C77"/>
  <c r="E77"/>
  <c r="H72"/>
  <c r="G72"/>
  <c r="F73"/>
  <c r="T73"/>
  <c r="Q74" s="1"/>
  <c r="R74" s="1"/>
  <c r="I71"/>
  <c r="D69" i="12"/>
  <c r="E69" s="1"/>
  <c r="C69"/>
  <c r="B70"/>
  <c r="M70"/>
  <c r="T40" i="10"/>
  <c r="Q41" s="1"/>
  <c r="O41"/>
  <c r="P69" i="12"/>
  <c r="S77" i="13" l="1"/>
  <c r="O78" s="1"/>
  <c r="M79"/>
  <c r="B79"/>
  <c r="D78"/>
  <c r="C78"/>
  <c r="E78"/>
  <c r="G73"/>
  <c r="H73"/>
  <c r="I72"/>
  <c r="F74"/>
  <c r="T74"/>
  <c r="Q75" s="1"/>
  <c r="R75" s="1"/>
  <c r="M71" i="12"/>
  <c r="D70"/>
  <c r="E70" s="1"/>
  <c r="C70"/>
  <c r="B71"/>
  <c r="R41" i="10"/>
  <c r="S41"/>
  <c r="P70" i="12"/>
  <c r="S78" i="13" l="1"/>
  <c r="O79" s="1"/>
  <c r="M80"/>
  <c r="B80"/>
  <c r="D79"/>
  <c r="E79" s="1"/>
  <c r="C79"/>
  <c r="H74"/>
  <c r="G74"/>
  <c r="F75"/>
  <c r="T75"/>
  <c r="Q76" s="1"/>
  <c r="R76" s="1"/>
  <c r="I73"/>
  <c r="M72" i="12"/>
  <c r="B72"/>
  <c r="D71"/>
  <c r="E71" s="1"/>
  <c r="C71"/>
  <c r="T41" i="10"/>
  <c r="Q42" s="1"/>
  <c r="O42"/>
  <c r="P71" i="12"/>
  <c r="S79" i="13" l="1"/>
  <c r="O80" s="1"/>
  <c r="M81"/>
  <c r="B81"/>
  <c r="D80"/>
  <c r="C80"/>
  <c r="E80"/>
  <c r="H75"/>
  <c r="G75"/>
  <c r="I74"/>
  <c r="F76"/>
  <c r="T76"/>
  <c r="Q77" s="1"/>
  <c r="R77" s="1"/>
  <c r="C72" i="12"/>
  <c r="B73"/>
  <c r="D72"/>
  <c r="E72" s="1"/>
  <c r="M73"/>
  <c r="R42" i="10"/>
  <c r="S42"/>
  <c r="P72" i="12"/>
  <c r="S80" i="13" l="1"/>
  <c r="O81" s="1"/>
  <c r="M82"/>
  <c r="B82"/>
  <c r="D81"/>
  <c r="C81"/>
  <c r="E81"/>
  <c r="I75"/>
  <c r="G76"/>
  <c r="H76"/>
  <c r="F77"/>
  <c r="T77"/>
  <c r="Q78" s="1"/>
  <c r="R78" s="1"/>
  <c r="B74" i="12"/>
  <c r="D73"/>
  <c r="E73" s="1"/>
  <c r="C73"/>
  <c r="M74"/>
  <c r="O43" i="10"/>
  <c r="T42"/>
  <c r="Q43" s="1"/>
  <c r="P73" i="12"/>
  <c r="S81" i="13" l="1"/>
  <c r="O82" s="1"/>
  <c r="M83"/>
  <c r="B83"/>
  <c r="D82"/>
  <c r="E82" s="1"/>
  <c r="C82"/>
  <c r="G77"/>
  <c r="H77"/>
  <c r="F78"/>
  <c r="T78"/>
  <c r="Q79" s="1"/>
  <c r="R79" s="1"/>
  <c r="I76"/>
  <c r="C74" i="12"/>
  <c r="M75"/>
  <c r="B75"/>
  <c r="D74"/>
  <c r="E74" s="1"/>
  <c r="R43" i="10"/>
  <c r="S43"/>
  <c r="P74" i="12"/>
  <c r="S82" i="13" l="1"/>
  <c r="O83" s="1"/>
  <c r="M84"/>
  <c r="B84"/>
  <c r="D83"/>
  <c r="C83"/>
  <c r="E83"/>
  <c r="H78"/>
  <c r="G78"/>
  <c r="F79"/>
  <c r="T79"/>
  <c r="Q80" s="1"/>
  <c r="R80" s="1"/>
  <c r="I77"/>
  <c r="B76" i="12"/>
  <c r="B77" s="1"/>
  <c r="D75"/>
  <c r="E75" s="1"/>
  <c r="C75"/>
  <c r="M76"/>
  <c r="T43" i="10"/>
  <c r="Q44" s="1"/>
  <c r="O44"/>
  <c r="P75" i="12"/>
  <c r="S83" i="13" l="1"/>
  <c r="O84" s="1"/>
  <c r="M85"/>
  <c r="B85"/>
  <c r="D84"/>
  <c r="C84"/>
  <c r="E84"/>
  <c r="H79"/>
  <c r="G79"/>
  <c r="I78"/>
  <c r="F80"/>
  <c r="T80"/>
  <c r="Q81" s="1"/>
  <c r="R81" s="1"/>
  <c r="D76" i="12"/>
  <c r="E76" s="1"/>
  <c r="C76"/>
  <c r="M77"/>
  <c r="C77"/>
  <c r="D77"/>
  <c r="E77" s="1"/>
  <c r="B78"/>
  <c r="R44" i="10"/>
  <c r="S44"/>
  <c r="P77" i="12"/>
  <c r="P76"/>
  <c r="S84" i="13" l="1"/>
  <c r="O85" s="1"/>
  <c r="M86"/>
  <c r="B86"/>
  <c r="D85"/>
  <c r="E85" s="1"/>
  <c r="C85"/>
  <c r="H80"/>
  <c r="G80"/>
  <c r="F81"/>
  <c r="T81"/>
  <c r="Q82" s="1"/>
  <c r="R82" s="1"/>
  <c r="I79"/>
  <c r="M78" i="12"/>
  <c r="C78"/>
  <c r="D78"/>
  <c r="E78" s="1"/>
  <c r="B79"/>
  <c r="T44" i="10"/>
  <c r="Q45" s="1"/>
  <c r="O45"/>
  <c r="P78" i="12"/>
  <c r="S85" i="13" l="1"/>
  <c r="O86" s="1"/>
  <c r="M87"/>
  <c r="B87"/>
  <c r="D86"/>
  <c r="C86"/>
  <c r="E86"/>
  <c r="G81"/>
  <c r="H81"/>
  <c r="F82"/>
  <c r="T82"/>
  <c r="Q83" s="1"/>
  <c r="R83" s="1"/>
  <c r="I80"/>
  <c r="M79" i="12"/>
  <c r="M80" s="1"/>
  <c r="B80"/>
  <c r="C79"/>
  <c r="D79"/>
  <c r="E79" s="1"/>
  <c r="R45" i="10"/>
  <c r="S45"/>
  <c r="S86" i="13" l="1"/>
  <c r="O87" s="1"/>
  <c r="M88"/>
  <c r="B88"/>
  <c r="D87"/>
  <c r="C87"/>
  <c r="E87"/>
  <c r="G82"/>
  <c r="H82"/>
  <c r="I81"/>
  <c r="F83"/>
  <c r="T83"/>
  <c r="Q84" s="1"/>
  <c r="R84" s="1"/>
  <c r="M81" i="12"/>
  <c r="C80"/>
  <c r="D80"/>
  <c r="E80" s="1"/>
  <c r="B81"/>
  <c r="O46" i="10"/>
  <c r="T45"/>
  <c r="Q46" s="1"/>
  <c r="P80" i="12"/>
  <c r="P79"/>
  <c r="S87" i="13" l="1"/>
  <c r="O88" s="1"/>
  <c r="M89"/>
  <c r="B89"/>
  <c r="D88"/>
  <c r="E88" s="1"/>
  <c r="C88"/>
  <c r="H83"/>
  <c r="G83"/>
  <c r="I82"/>
  <c r="F84"/>
  <c r="T84"/>
  <c r="Q85" s="1"/>
  <c r="R85" s="1"/>
  <c r="M82" i="12"/>
  <c r="C81"/>
  <c r="B82"/>
  <c r="D81"/>
  <c r="E81" s="1"/>
  <c r="R46" i="10"/>
  <c r="S46"/>
  <c r="P81" i="12"/>
  <c r="S88" i="13" l="1"/>
  <c r="O89" s="1"/>
  <c r="M90"/>
  <c r="B90"/>
  <c r="D89"/>
  <c r="C89"/>
  <c r="E89"/>
  <c r="G84"/>
  <c r="H84"/>
  <c r="F85"/>
  <c r="T85"/>
  <c r="Q86" s="1"/>
  <c r="R86" s="1"/>
  <c r="I83"/>
  <c r="M83" i="12"/>
  <c r="B83"/>
  <c r="C82"/>
  <c r="D82"/>
  <c r="E82" s="1"/>
  <c r="T46" i="10"/>
  <c r="Q47" s="1"/>
  <c r="O47"/>
  <c r="P82" i="12"/>
  <c r="S89" i="13" l="1"/>
  <c r="O90" s="1"/>
  <c r="M91"/>
  <c r="B91"/>
  <c r="D90"/>
  <c r="C90"/>
  <c r="E90"/>
  <c r="H85"/>
  <c r="G85"/>
  <c r="I84"/>
  <c r="F86"/>
  <c r="T86"/>
  <c r="Q87" s="1"/>
  <c r="R87" s="1"/>
  <c r="M84" i="12"/>
  <c r="C83"/>
  <c r="D83"/>
  <c r="E83" s="1"/>
  <c r="B84"/>
  <c r="R47" i="10"/>
  <c r="S47"/>
  <c r="P83" i="12"/>
  <c r="S90" i="13" l="1"/>
  <c r="O91" s="1"/>
  <c r="D91"/>
  <c r="E91" s="1"/>
  <c r="M92"/>
  <c r="B92"/>
  <c r="C91"/>
  <c r="H86"/>
  <c r="G86"/>
  <c r="F87"/>
  <c r="T87"/>
  <c r="Q88" s="1"/>
  <c r="R88" s="1"/>
  <c r="I85"/>
  <c r="M85" i="12"/>
  <c r="C84"/>
  <c r="D84"/>
  <c r="E84" s="1"/>
  <c r="B85"/>
  <c r="T47" i="10"/>
  <c r="Q48" s="1"/>
  <c r="O48"/>
  <c r="P84" i="12"/>
  <c r="S91" i="13" l="1"/>
  <c r="O92" s="1"/>
  <c r="M93"/>
  <c r="B93"/>
  <c r="D92"/>
  <c r="C92"/>
  <c r="E92"/>
  <c r="G87"/>
  <c r="I87" s="1"/>
  <c r="H87"/>
  <c r="F88"/>
  <c r="T88"/>
  <c r="Q89" s="1"/>
  <c r="R89" s="1"/>
  <c r="I86"/>
  <c r="M86" i="12"/>
  <c r="B86"/>
  <c r="C85"/>
  <c r="D85"/>
  <c r="E85" s="1"/>
  <c r="R48" i="10"/>
  <c r="S48"/>
  <c r="P85" i="12"/>
  <c r="S92" i="13" l="1"/>
  <c r="O93" s="1"/>
  <c r="M94"/>
  <c r="B94"/>
  <c r="D93"/>
  <c r="C93"/>
  <c r="E93"/>
  <c r="H88"/>
  <c r="G88"/>
  <c r="F89"/>
  <c r="T89"/>
  <c r="Q90" s="1"/>
  <c r="R90" s="1"/>
  <c r="M87" i="12"/>
  <c r="C86"/>
  <c r="D86"/>
  <c r="E86" s="1"/>
  <c r="B87"/>
  <c r="O49" i="10"/>
  <c r="T48"/>
  <c r="Q49" s="1"/>
  <c r="P86" i="12"/>
  <c r="S93" i="13" l="1"/>
  <c r="O94" s="1"/>
  <c r="M95"/>
  <c r="B95"/>
  <c r="D94"/>
  <c r="E94" s="1"/>
  <c r="C94"/>
  <c r="H89"/>
  <c r="G89"/>
  <c r="F90"/>
  <c r="T90"/>
  <c r="Q91" s="1"/>
  <c r="R91" s="1"/>
  <c r="I88"/>
  <c r="M88" i="12"/>
  <c r="C87"/>
  <c r="D87"/>
  <c r="E87" s="1"/>
  <c r="B88"/>
  <c r="R49" i="10"/>
  <c r="S49"/>
  <c r="P87" i="12"/>
  <c r="S94" i="13" l="1"/>
  <c r="O95" s="1"/>
  <c r="M96"/>
  <c r="B96"/>
  <c r="D95"/>
  <c r="C95"/>
  <c r="E95"/>
  <c r="H90"/>
  <c r="G90"/>
  <c r="F91"/>
  <c r="T91"/>
  <c r="Q92" s="1"/>
  <c r="R92" s="1"/>
  <c r="I89"/>
  <c r="M89" i="12"/>
  <c r="B89"/>
  <c r="C88"/>
  <c r="D88"/>
  <c r="E88" s="1"/>
  <c r="T49" i="10"/>
  <c r="Q50" s="1"/>
  <c r="O50"/>
  <c r="P88" i="12"/>
  <c r="S95" i="13" l="1"/>
  <c r="O96" s="1"/>
  <c r="M97"/>
  <c r="B97"/>
  <c r="D96"/>
  <c r="C96"/>
  <c r="E96"/>
  <c r="H91"/>
  <c r="G91"/>
  <c r="F92"/>
  <c r="T92"/>
  <c r="Q93" s="1"/>
  <c r="R93" s="1"/>
  <c r="I90"/>
  <c r="M90" i="12"/>
  <c r="C89"/>
  <c r="D89"/>
  <c r="E89" s="1"/>
  <c r="B90"/>
  <c r="R50" i="10"/>
  <c r="S50"/>
  <c r="P89" i="12"/>
  <c r="S96" i="13" l="1"/>
  <c r="O97" s="1"/>
  <c r="M98"/>
  <c r="B98"/>
  <c r="D97"/>
  <c r="E97" s="1"/>
  <c r="C97"/>
  <c r="H92"/>
  <c r="G92"/>
  <c r="F93"/>
  <c r="T93"/>
  <c r="Q94" s="1"/>
  <c r="R94" s="1"/>
  <c r="I91"/>
  <c r="M91" i="12"/>
  <c r="C90"/>
  <c r="D90"/>
  <c r="E90" s="1"/>
  <c r="B91"/>
  <c r="T50" i="10"/>
  <c r="Q51" s="1"/>
  <c r="O51"/>
  <c r="P90" i="12"/>
  <c r="S97" i="13" l="1"/>
  <c r="O98" s="1"/>
  <c r="B99"/>
  <c r="M99"/>
  <c r="D98"/>
  <c r="C98"/>
  <c r="E98"/>
  <c r="G93"/>
  <c r="H93"/>
  <c r="I92"/>
  <c r="F94"/>
  <c r="T94"/>
  <c r="Q95" s="1"/>
  <c r="R95" s="1"/>
  <c r="M92" i="12"/>
  <c r="B92"/>
  <c r="C91"/>
  <c r="D91"/>
  <c r="E91" s="1"/>
  <c r="R51" i="10"/>
  <c r="S51"/>
  <c r="P91" i="12"/>
  <c r="S98" i="13" l="1"/>
  <c r="O99" s="1"/>
  <c r="M100"/>
  <c r="B100"/>
  <c r="D99"/>
  <c r="C99"/>
  <c r="E99"/>
  <c r="I93"/>
  <c r="H94"/>
  <c r="G94"/>
  <c r="F95"/>
  <c r="T95"/>
  <c r="Q96" s="1"/>
  <c r="R96" s="1"/>
  <c r="M93" i="12"/>
  <c r="C92"/>
  <c r="D92"/>
  <c r="E92" s="1"/>
  <c r="B93"/>
  <c r="O52" i="10"/>
  <c r="T51"/>
  <c r="Q52" s="1"/>
  <c r="P92" i="12"/>
  <c r="S99" i="13" l="1"/>
  <c r="O100" s="1"/>
  <c r="M101"/>
  <c r="B101"/>
  <c r="D100"/>
  <c r="E100" s="1"/>
  <c r="C100"/>
  <c r="G95"/>
  <c r="H95"/>
  <c r="F96"/>
  <c r="T96"/>
  <c r="Q97" s="1"/>
  <c r="R97" s="1"/>
  <c r="I94"/>
  <c r="M94" i="12"/>
  <c r="C93"/>
  <c r="B94"/>
  <c r="D93"/>
  <c r="E93" s="1"/>
  <c r="R52" i="10"/>
  <c r="S52"/>
  <c r="P93" i="12"/>
  <c r="S100" i="13" l="1"/>
  <c r="O101" s="1"/>
  <c r="M102"/>
  <c r="B102"/>
  <c r="D101"/>
  <c r="C101"/>
  <c r="E101"/>
  <c r="G96"/>
  <c r="H96"/>
  <c r="I95"/>
  <c r="F97"/>
  <c r="T97"/>
  <c r="Q98" s="1"/>
  <c r="R98" s="1"/>
  <c r="M95" i="12"/>
  <c r="B95"/>
  <c r="C94"/>
  <c r="D94"/>
  <c r="E94" s="1"/>
  <c r="O53" i="10"/>
  <c r="T52"/>
  <c r="Q53" s="1"/>
  <c r="P94" i="12"/>
  <c r="S101" i="13" l="1"/>
  <c r="O102" s="1"/>
  <c r="M103"/>
  <c r="B103"/>
  <c r="D102"/>
  <c r="E102" s="1"/>
  <c r="C102"/>
  <c r="H97"/>
  <c r="G97"/>
  <c r="I96"/>
  <c r="F98"/>
  <c r="T98"/>
  <c r="Q99" s="1"/>
  <c r="R99" s="1"/>
  <c r="M96" i="12"/>
  <c r="C95"/>
  <c r="D95"/>
  <c r="E95" s="1"/>
  <c r="B96"/>
  <c r="R53" i="10"/>
  <c r="S53"/>
  <c r="P95" i="12"/>
  <c r="S102" i="13" l="1"/>
  <c r="O103" s="1"/>
  <c r="M104"/>
  <c r="B104"/>
  <c r="D103"/>
  <c r="E103" s="1"/>
  <c r="C103"/>
  <c r="H98"/>
  <c r="G98"/>
  <c r="F99"/>
  <c r="T99"/>
  <c r="Q100" s="1"/>
  <c r="R100" s="1"/>
  <c r="I97"/>
  <c r="M97" i="12"/>
  <c r="C96"/>
  <c r="D96"/>
  <c r="E96" s="1"/>
  <c r="B97"/>
  <c r="T53" i="10"/>
  <c r="Q54" s="1"/>
  <c r="O54"/>
  <c r="P96" i="12"/>
  <c r="S103" i="13" l="1"/>
  <c r="O104" s="1"/>
  <c r="M105"/>
  <c r="B105"/>
  <c r="D104"/>
  <c r="C104"/>
  <c r="E104"/>
  <c r="H99"/>
  <c r="G99"/>
  <c r="I98"/>
  <c r="F100"/>
  <c r="T100"/>
  <c r="Q101" s="1"/>
  <c r="R101" s="1"/>
  <c r="M98" i="12"/>
  <c r="B98"/>
  <c r="C97"/>
  <c r="D97"/>
  <c r="E97" s="1"/>
  <c r="R54" i="10"/>
  <c r="S54"/>
  <c r="P97" i="12"/>
  <c r="S104" i="13" l="1"/>
  <c r="O105" s="1"/>
  <c r="M106"/>
  <c r="B106"/>
  <c r="D105"/>
  <c r="E105" s="1"/>
  <c r="C105"/>
  <c r="H100"/>
  <c r="G100"/>
  <c r="I99"/>
  <c r="F101"/>
  <c r="T101"/>
  <c r="Q102" s="1"/>
  <c r="R102" s="1"/>
  <c r="M99" i="12"/>
  <c r="C98"/>
  <c r="D98"/>
  <c r="E98" s="1"/>
  <c r="B99"/>
  <c r="O55" i="10"/>
  <c r="T54"/>
  <c r="Q55" s="1"/>
  <c r="P98" i="12"/>
  <c r="S105" i="13" l="1"/>
  <c r="O106" s="1"/>
  <c r="M107"/>
  <c r="B107"/>
  <c r="D106"/>
  <c r="C106"/>
  <c r="E106"/>
  <c r="G101"/>
  <c r="H101"/>
  <c r="F102"/>
  <c r="T102"/>
  <c r="Q103" s="1"/>
  <c r="R103" s="1"/>
  <c r="I100"/>
  <c r="M100" i="12"/>
  <c r="C99"/>
  <c r="B100"/>
  <c r="D99"/>
  <c r="E99" s="1"/>
  <c r="R55" i="10"/>
  <c r="S55"/>
  <c r="P99" i="12"/>
  <c r="S106" i="13" l="1"/>
  <c r="O107" s="1"/>
  <c r="M108"/>
  <c r="B108"/>
  <c r="D107"/>
  <c r="E107" s="1"/>
  <c r="C107"/>
  <c r="H102"/>
  <c r="G102"/>
  <c r="I101"/>
  <c r="F103"/>
  <c r="T103"/>
  <c r="Q104" s="1"/>
  <c r="R104" s="1"/>
  <c r="M101" i="12"/>
  <c r="B101"/>
  <c r="C100"/>
  <c r="D100"/>
  <c r="E100" s="1"/>
  <c r="T55" i="10"/>
  <c r="Q56" s="1"/>
  <c r="O56"/>
  <c r="P100" i="12"/>
  <c r="S107" i="13" l="1"/>
  <c r="O108" s="1"/>
  <c r="M109"/>
  <c r="B109"/>
  <c r="D108"/>
  <c r="C108"/>
  <c r="E108"/>
  <c r="I102"/>
  <c r="H103"/>
  <c r="G103"/>
  <c r="F104"/>
  <c r="T104"/>
  <c r="Q105" s="1"/>
  <c r="R105" s="1"/>
  <c r="M102" i="12"/>
  <c r="C101"/>
  <c r="D101"/>
  <c r="E101" s="1"/>
  <c r="B102"/>
  <c r="R56" i="10"/>
  <c r="S56"/>
  <c r="P101" i="12"/>
  <c r="S108" i="13" l="1"/>
  <c r="O109" s="1"/>
  <c r="M110"/>
  <c r="B110"/>
  <c r="D109"/>
  <c r="E109" s="1"/>
  <c r="C109"/>
  <c r="G104"/>
  <c r="H104"/>
  <c r="F105"/>
  <c r="T105"/>
  <c r="Q106" s="1"/>
  <c r="R106" s="1"/>
  <c r="I103"/>
  <c r="M103" i="12"/>
  <c r="C102"/>
  <c r="D102"/>
  <c r="E102" s="1"/>
  <c r="B103"/>
  <c r="T56" i="10"/>
  <c r="Q57" s="1"/>
  <c r="O57"/>
  <c r="P102" i="12"/>
  <c r="S109" i="13" l="1"/>
  <c r="O110" s="1"/>
  <c r="D110"/>
  <c r="M111"/>
  <c r="B111"/>
  <c r="E110"/>
  <c r="C110"/>
  <c r="G105"/>
  <c r="H105"/>
  <c r="F106"/>
  <c r="T106"/>
  <c r="Q107" s="1"/>
  <c r="R107" s="1"/>
  <c r="I104"/>
  <c r="M104" i="12"/>
  <c r="B104"/>
  <c r="C103"/>
  <c r="D103"/>
  <c r="E103" s="1"/>
  <c r="R57" i="10"/>
  <c r="S57"/>
  <c r="P103" i="12"/>
  <c r="S110" i="13" l="1"/>
  <c r="O111" s="1"/>
  <c r="M112"/>
  <c r="B112"/>
  <c r="D111"/>
  <c r="E111" s="1"/>
  <c r="C111"/>
  <c r="H106"/>
  <c r="G106"/>
  <c r="F107"/>
  <c r="T107"/>
  <c r="Q108" s="1"/>
  <c r="R108" s="1"/>
  <c r="I105"/>
  <c r="M105" i="12"/>
  <c r="C104"/>
  <c r="D104"/>
  <c r="E104" s="1"/>
  <c r="B105"/>
  <c r="O58" i="10"/>
  <c r="T57"/>
  <c r="Q58" s="1"/>
  <c r="P104" i="12"/>
  <c r="S111" i="13" l="1"/>
  <c r="O112" s="1"/>
  <c r="M113"/>
  <c r="B113"/>
  <c r="D112"/>
  <c r="E112" s="1"/>
  <c r="C112"/>
  <c r="G107"/>
  <c r="H107"/>
  <c r="F108"/>
  <c r="T108"/>
  <c r="Q109" s="1"/>
  <c r="R109" s="1"/>
  <c r="I106"/>
  <c r="M106" i="12"/>
  <c r="C105"/>
  <c r="D105"/>
  <c r="E105" s="1"/>
  <c r="B106"/>
  <c r="R58" i="10"/>
  <c r="S58"/>
  <c r="P105" i="12"/>
  <c r="S112" i="13" l="1"/>
  <c r="O113" s="1"/>
  <c r="C113"/>
  <c r="M114"/>
  <c r="B114"/>
  <c r="D113"/>
  <c r="E113" s="1"/>
  <c r="H108"/>
  <c r="G108"/>
  <c r="I107"/>
  <c r="F109"/>
  <c r="T109"/>
  <c r="Q110" s="1"/>
  <c r="R110" s="1"/>
  <c r="M107" i="12"/>
  <c r="B107"/>
  <c r="C106"/>
  <c r="D106"/>
  <c r="E106" s="1"/>
  <c r="T58" i="10"/>
  <c r="P106" i="12"/>
  <c r="S113" i="13" l="1"/>
  <c r="O114" s="1"/>
  <c r="M115"/>
  <c r="B115"/>
  <c r="C114"/>
  <c r="D114"/>
  <c r="E114" s="1"/>
  <c r="H109"/>
  <c r="G109"/>
  <c r="F110"/>
  <c r="T110"/>
  <c r="Q111" s="1"/>
  <c r="R111" s="1"/>
  <c r="I108"/>
  <c r="M108" i="12"/>
  <c r="C107"/>
  <c r="D107"/>
  <c r="E107" s="1"/>
  <c r="B108"/>
  <c r="C22"/>
  <c r="P107"/>
  <c r="S114" i="13" l="1"/>
  <c r="O115" s="1"/>
  <c r="M116"/>
  <c r="B116"/>
  <c r="D115"/>
  <c r="E115" s="1"/>
  <c r="C115"/>
  <c r="I109"/>
  <c r="H110"/>
  <c r="G110"/>
  <c r="F111"/>
  <c r="T111"/>
  <c r="Q112" s="1"/>
  <c r="R112" s="1"/>
  <c r="M109" i="12"/>
  <c r="C108"/>
  <c r="D108"/>
  <c r="E108" s="1"/>
  <c r="B109"/>
  <c r="S19"/>
  <c r="F19"/>
  <c r="P108"/>
  <c r="S115" i="13" l="1"/>
  <c r="O116" s="1"/>
  <c r="M117"/>
  <c r="B117"/>
  <c r="D116"/>
  <c r="E116" s="1"/>
  <c r="C116"/>
  <c r="G111"/>
  <c r="H111"/>
  <c r="F112"/>
  <c r="T112"/>
  <c r="Q113" s="1"/>
  <c r="R113" s="1"/>
  <c r="I110"/>
  <c r="M110" i="12"/>
  <c r="B110"/>
  <c r="D109"/>
  <c r="E109" s="1"/>
  <c r="C109"/>
  <c r="H19"/>
  <c r="G19"/>
  <c r="T19"/>
  <c r="Q20" s="1"/>
  <c r="O20"/>
  <c r="P109"/>
  <c r="S116" i="13" l="1"/>
  <c r="O117" s="1"/>
  <c r="M118"/>
  <c r="B118"/>
  <c r="D117"/>
  <c r="E117" s="1"/>
  <c r="C117"/>
  <c r="H112"/>
  <c r="G112"/>
  <c r="I111"/>
  <c r="F113"/>
  <c r="T113"/>
  <c r="Q114" s="1"/>
  <c r="R114" s="1"/>
  <c r="M111" i="12"/>
  <c r="C110"/>
  <c r="D110"/>
  <c r="E110" s="1"/>
  <c r="B111"/>
  <c r="R20"/>
  <c r="F20" s="1"/>
  <c r="S20"/>
  <c r="I19"/>
  <c r="P110"/>
  <c r="S117" i="13" l="1"/>
  <c r="O118" s="1"/>
  <c r="M119"/>
  <c r="B119"/>
  <c r="D118"/>
  <c r="E118" s="1"/>
  <c r="C118"/>
  <c r="G113"/>
  <c r="H113"/>
  <c r="F114"/>
  <c r="T114"/>
  <c r="Q115" s="1"/>
  <c r="R115" s="1"/>
  <c r="I112"/>
  <c r="M112" i="12"/>
  <c r="C111"/>
  <c r="D111"/>
  <c r="E111" s="1"/>
  <c r="B112"/>
  <c r="O21"/>
  <c r="T20"/>
  <c r="Q21" s="1"/>
  <c r="G20"/>
  <c r="H20"/>
  <c r="P111"/>
  <c r="S118" i="13" l="1"/>
  <c r="O119" s="1"/>
  <c r="M120"/>
  <c r="B120"/>
  <c r="D119"/>
  <c r="E119" s="1"/>
  <c r="C119"/>
  <c r="H114"/>
  <c r="G114"/>
  <c r="I113"/>
  <c r="F115"/>
  <c r="T115"/>
  <c r="Q116" s="1"/>
  <c r="R116" s="1"/>
  <c r="M113" i="12"/>
  <c r="B113"/>
  <c r="D112"/>
  <c r="E112" s="1"/>
  <c r="C112"/>
  <c r="I20"/>
  <c r="R21"/>
  <c r="F21" s="1"/>
  <c r="S21"/>
  <c r="P112"/>
  <c r="S119" i="13" l="1"/>
  <c r="O120" s="1"/>
  <c r="M121"/>
  <c r="B121"/>
  <c r="D120"/>
  <c r="E120" s="1"/>
  <c r="C120"/>
  <c r="H115"/>
  <c r="G115"/>
  <c r="F116"/>
  <c r="T116"/>
  <c r="Q117" s="1"/>
  <c r="R117" s="1"/>
  <c r="I114"/>
  <c r="G21" i="12"/>
  <c r="H21"/>
  <c r="M114"/>
  <c r="C113"/>
  <c r="D113"/>
  <c r="E113" s="1"/>
  <c r="B114"/>
  <c r="T21"/>
  <c r="Q22" s="1"/>
  <c r="O22"/>
  <c r="P113"/>
  <c r="S120" i="13" l="1"/>
  <c r="O121" s="1"/>
  <c r="M122"/>
  <c r="B122"/>
  <c r="D121"/>
  <c r="E121" s="1"/>
  <c r="C121"/>
  <c r="G116"/>
  <c r="H116"/>
  <c r="F117"/>
  <c r="T117"/>
  <c r="Q118" s="1"/>
  <c r="R118" s="1"/>
  <c r="I115"/>
  <c r="M115" i="12"/>
  <c r="C114"/>
  <c r="D114"/>
  <c r="E114" s="1"/>
  <c r="B115"/>
  <c r="I21"/>
  <c r="R22"/>
  <c r="F22" s="1"/>
  <c r="S22"/>
  <c r="P114"/>
  <c r="S121" i="13" l="1"/>
  <c r="O122" s="1"/>
  <c r="M123"/>
  <c r="B123"/>
  <c r="D122"/>
  <c r="E122" s="1"/>
  <c r="C122"/>
  <c r="H117"/>
  <c r="G117"/>
  <c r="F118"/>
  <c r="T118"/>
  <c r="Q119" s="1"/>
  <c r="R119" s="1"/>
  <c r="I116"/>
  <c r="G22" i="12"/>
  <c r="H22"/>
  <c r="M116"/>
  <c r="B116"/>
  <c r="D115"/>
  <c r="E115" s="1"/>
  <c r="C115"/>
  <c r="T22"/>
  <c r="Q23" s="1"/>
  <c r="O23"/>
  <c r="P115"/>
  <c r="S122" i="13" l="1"/>
  <c r="O123" s="1"/>
  <c r="M124"/>
  <c r="D123"/>
  <c r="E123" s="1"/>
  <c r="B124"/>
  <c r="C123"/>
  <c r="H118"/>
  <c r="G118"/>
  <c r="I117"/>
  <c r="F119"/>
  <c r="T119"/>
  <c r="Q120" s="1"/>
  <c r="R120" s="1"/>
  <c r="M117" i="12"/>
  <c r="C116"/>
  <c r="D116"/>
  <c r="E116" s="1"/>
  <c r="B117"/>
  <c r="S23"/>
  <c r="R23"/>
  <c r="F23" s="1"/>
  <c r="I22"/>
  <c r="P116"/>
  <c r="S123" i="13" l="1"/>
  <c r="O124" s="1"/>
  <c r="M125"/>
  <c r="B125"/>
  <c r="D124"/>
  <c r="E124" s="1"/>
  <c r="C124"/>
  <c r="H119"/>
  <c r="G119"/>
  <c r="F120"/>
  <c r="T120"/>
  <c r="Q121" s="1"/>
  <c r="R121" s="1"/>
  <c r="I118"/>
  <c r="G23" i="12"/>
  <c r="H23"/>
  <c r="M118"/>
  <c r="C117"/>
  <c r="D117"/>
  <c r="E117" s="1"/>
  <c r="B118"/>
  <c r="T23"/>
  <c r="Q24" s="1"/>
  <c r="O24"/>
  <c r="P117"/>
  <c r="S124" i="13" l="1"/>
  <c r="O125" s="1"/>
  <c r="M126"/>
  <c r="B126"/>
  <c r="D125"/>
  <c r="E125" s="1"/>
  <c r="C125"/>
  <c r="H120"/>
  <c r="G120"/>
  <c r="F121"/>
  <c r="T121"/>
  <c r="Q122" s="1"/>
  <c r="R122" s="1"/>
  <c r="I119"/>
  <c r="I23" i="12"/>
  <c r="M119"/>
  <c r="B119"/>
  <c r="D118"/>
  <c r="E118" s="1"/>
  <c r="C118"/>
  <c r="R24"/>
  <c r="F24" s="1"/>
  <c r="S24"/>
  <c r="P118"/>
  <c r="S125" i="13" l="1"/>
  <c r="O126" s="1"/>
  <c r="M127"/>
  <c r="B127"/>
  <c r="D126"/>
  <c r="E126" s="1"/>
  <c r="C126"/>
  <c r="G121"/>
  <c r="H121"/>
  <c r="I120"/>
  <c r="F122"/>
  <c r="T122"/>
  <c r="Q123" s="1"/>
  <c r="R123" s="1"/>
  <c r="G24" i="12"/>
  <c r="H24"/>
  <c r="M120"/>
  <c r="C119"/>
  <c r="D119"/>
  <c r="E119" s="1"/>
  <c r="B120"/>
  <c r="T24"/>
  <c r="Q25" s="1"/>
  <c r="O25"/>
  <c r="P119"/>
  <c r="S126" i="13" l="1"/>
  <c r="O127" s="1"/>
  <c r="M128"/>
  <c r="B128"/>
  <c r="D127"/>
  <c r="E127" s="1"/>
  <c r="C127"/>
  <c r="G122"/>
  <c r="H122"/>
  <c r="F123"/>
  <c r="T123"/>
  <c r="Q124" s="1"/>
  <c r="R124" s="1"/>
  <c r="I121"/>
  <c r="I24" i="12"/>
  <c r="M121"/>
  <c r="C120"/>
  <c r="D120"/>
  <c r="E120" s="1"/>
  <c r="B121"/>
  <c r="R25"/>
  <c r="F25" s="1"/>
  <c r="S25"/>
  <c r="P120"/>
  <c r="S127" i="13" l="1"/>
  <c r="O128" s="1"/>
  <c r="M129"/>
  <c r="B129"/>
  <c r="D128"/>
  <c r="E128" s="1"/>
  <c r="C128"/>
  <c r="H123"/>
  <c r="G123"/>
  <c r="F124"/>
  <c r="T124"/>
  <c r="Q125" s="1"/>
  <c r="R125" s="1"/>
  <c r="I122"/>
  <c r="G25" i="12"/>
  <c r="H25"/>
  <c r="M122"/>
  <c r="B122"/>
  <c r="D121"/>
  <c r="E121" s="1"/>
  <c r="C121"/>
  <c r="T25"/>
  <c r="Q26" s="1"/>
  <c r="O26"/>
  <c r="P121"/>
  <c r="S128" i="13" l="1"/>
  <c r="O129" s="1"/>
  <c r="M130"/>
  <c r="B130"/>
  <c r="D129"/>
  <c r="E129" s="1"/>
  <c r="C129"/>
  <c r="G124"/>
  <c r="H124"/>
  <c r="I123"/>
  <c r="F125"/>
  <c r="T125"/>
  <c r="Q126" s="1"/>
  <c r="R126" s="1"/>
  <c r="I25" i="12"/>
  <c r="M123"/>
  <c r="C122"/>
  <c r="D122"/>
  <c r="E122" s="1"/>
  <c r="B123"/>
  <c r="S26"/>
  <c r="R26"/>
  <c r="F26" s="1"/>
  <c r="P122"/>
  <c r="S129" i="13" l="1"/>
  <c r="O130" s="1"/>
  <c r="M131"/>
  <c r="B131"/>
  <c r="D130"/>
  <c r="E130" s="1"/>
  <c r="C130"/>
  <c r="H125"/>
  <c r="G125"/>
  <c r="I124"/>
  <c r="F126"/>
  <c r="T126"/>
  <c r="Q127" s="1"/>
  <c r="R127" s="1"/>
  <c r="G26" i="12"/>
  <c r="H26"/>
  <c r="M124"/>
  <c r="C123"/>
  <c r="D123"/>
  <c r="E123" s="1"/>
  <c r="B124"/>
  <c r="O27"/>
  <c r="T26"/>
  <c r="Q27" s="1"/>
  <c r="P123"/>
  <c r="S130" i="13" l="1"/>
  <c r="O131" s="1"/>
  <c r="M132"/>
  <c r="B132"/>
  <c r="D131"/>
  <c r="E131" s="1"/>
  <c r="C131"/>
  <c r="H126"/>
  <c r="G126"/>
  <c r="F127"/>
  <c r="T127"/>
  <c r="Q128" s="1"/>
  <c r="R128" s="1"/>
  <c r="I125"/>
  <c r="I26" i="12"/>
  <c r="M125"/>
  <c r="B125"/>
  <c r="D124"/>
  <c r="E124" s="1"/>
  <c r="C124"/>
  <c r="S27"/>
  <c r="R27"/>
  <c r="F27" s="1"/>
  <c r="P124"/>
  <c r="S131" i="13" l="1"/>
  <c r="O132" s="1"/>
  <c r="M133"/>
  <c r="B133"/>
  <c r="D132"/>
  <c r="C132"/>
  <c r="E132"/>
  <c r="H127"/>
  <c r="G127"/>
  <c r="F128"/>
  <c r="T128"/>
  <c r="Q129" s="1"/>
  <c r="R129" s="1"/>
  <c r="I126"/>
  <c r="G27" i="12"/>
  <c r="H27"/>
  <c r="M126"/>
  <c r="C125"/>
  <c r="D125"/>
  <c r="E125" s="1"/>
  <c r="B126"/>
  <c r="O28"/>
  <c r="T27"/>
  <c r="Q28" s="1"/>
  <c r="P125"/>
  <c r="S132" i="13" l="1"/>
  <c r="O133" s="1"/>
  <c r="M134"/>
  <c r="B134"/>
  <c r="D133"/>
  <c r="E133" s="1"/>
  <c r="C133"/>
  <c r="H128"/>
  <c r="G128"/>
  <c r="F129"/>
  <c r="T129"/>
  <c r="Q130" s="1"/>
  <c r="R130" s="1"/>
  <c r="I127"/>
  <c r="I27" i="12"/>
  <c r="M127"/>
  <c r="D126"/>
  <c r="E126" s="1"/>
  <c r="B127"/>
  <c r="C126"/>
  <c r="S28"/>
  <c r="R28"/>
  <c r="F28" s="1"/>
  <c r="P126"/>
  <c r="S133" i="13" l="1"/>
  <c r="O134" s="1"/>
  <c r="M135"/>
  <c r="B135"/>
  <c r="D134"/>
  <c r="C134"/>
  <c r="E134"/>
  <c r="H129"/>
  <c r="G129"/>
  <c r="F130"/>
  <c r="T130"/>
  <c r="Q131" s="1"/>
  <c r="R131" s="1"/>
  <c r="I128"/>
  <c r="G28" i="12"/>
  <c r="H28"/>
  <c r="M128"/>
  <c r="B128"/>
  <c r="D127"/>
  <c r="E127" s="1"/>
  <c r="C127"/>
  <c r="T28"/>
  <c r="Q29" s="1"/>
  <c r="O29"/>
  <c r="P127"/>
  <c r="S134" i="13" l="1"/>
  <c r="O135" s="1"/>
  <c r="M136"/>
  <c r="B136"/>
  <c r="D135"/>
  <c r="C135"/>
  <c r="E135"/>
  <c r="H130"/>
  <c r="G130"/>
  <c r="F131"/>
  <c r="T131"/>
  <c r="Q132" s="1"/>
  <c r="R132" s="1"/>
  <c r="I129"/>
  <c r="I28" i="12"/>
  <c r="M129"/>
  <c r="C128"/>
  <c r="D128"/>
  <c r="E128" s="1"/>
  <c r="B129"/>
  <c r="R29"/>
  <c r="F29" s="1"/>
  <c r="S29"/>
  <c r="P128"/>
  <c r="S135" i="13" l="1"/>
  <c r="O136" s="1"/>
  <c r="M137"/>
  <c r="B137"/>
  <c r="D136"/>
  <c r="E136" s="1"/>
  <c r="C136"/>
  <c r="H131"/>
  <c r="G131"/>
  <c r="F132"/>
  <c r="T132"/>
  <c r="Q133" s="1"/>
  <c r="R133" s="1"/>
  <c r="I130"/>
  <c r="G29" i="12"/>
  <c r="H29"/>
  <c r="M130"/>
  <c r="C129"/>
  <c r="D129"/>
  <c r="E129" s="1"/>
  <c r="B130"/>
  <c r="T29"/>
  <c r="Q30" s="1"/>
  <c r="O30"/>
  <c r="P129"/>
  <c r="S136" i="13" l="1"/>
  <c r="O137" s="1"/>
  <c r="M138"/>
  <c r="B138"/>
  <c r="D137"/>
  <c r="C137"/>
  <c r="E137"/>
  <c r="H132"/>
  <c r="G132"/>
  <c r="F133"/>
  <c r="T133"/>
  <c r="Q134" s="1"/>
  <c r="R134" s="1"/>
  <c r="I131"/>
  <c r="I29" i="12"/>
  <c r="M131"/>
  <c r="B131"/>
  <c r="D130"/>
  <c r="E130" s="1"/>
  <c r="C130"/>
  <c r="R30"/>
  <c r="F30" s="1"/>
  <c r="S30"/>
  <c r="P130"/>
  <c r="S137" i="13" l="1"/>
  <c r="O138" s="1"/>
  <c r="D138"/>
  <c r="M139"/>
  <c r="B139"/>
  <c r="C138"/>
  <c r="E138"/>
  <c r="G133"/>
  <c r="H133"/>
  <c r="I132"/>
  <c r="F134"/>
  <c r="T134"/>
  <c r="Q135" s="1"/>
  <c r="R135" s="1"/>
  <c r="G30" i="12"/>
  <c r="H30"/>
  <c r="M132"/>
  <c r="C131"/>
  <c r="D131"/>
  <c r="E131" s="1"/>
  <c r="B132"/>
  <c r="T30"/>
  <c r="Q31" s="1"/>
  <c r="O31"/>
  <c r="P131"/>
  <c r="S138" i="13" l="1"/>
  <c r="O139" s="1"/>
  <c r="B140"/>
  <c r="C139"/>
  <c r="M140"/>
  <c r="D139"/>
  <c r="E139" s="1"/>
  <c r="G134"/>
  <c r="H134"/>
  <c r="I133"/>
  <c r="F135"/>
  <c r="T135"/>
  <c r="Q136" s="1"/>
  <c r="R136" s="1"/>
  <c r="I30" i="12"/>
  <c r="M133"/>
  <c r="C132"/>
  <c r="D132"/>
  <c r="E132" s="1"/>
  <c r="B133"/>
  <c r="S31"/>
  <c r="R31"/>
  <c r="F31" s="1"/>
  <c r="P132"/>
  <c r="S139" i="13" l="1"/>
  <c r="O140" s="1"/>
  <c r="M141"/>
  <c r="B141"/>
  <c r="D140"/>
  <c r="C140"/>
  <c r="E140"/>
  <c r="G135"/>
  <c r="H135"/>
  <c r="I134"/>
  <c r="F136"/>
  <c r="T136"/>
  <c r="Q137" s="1"/>
  <c r="R137" s="1"/>
  <c r="G31" i="12"/>
  <c r="H31"/>
  <c r="M134"/>
  <c r="B134"/>
  <c r="D133"/>
  <c r="E133" s="1"/>
  <c r="C133"/>
  <c r="T31"/>
  <c r="Q32" s="1"/>
  <c r="O32"/>
  <c r="P133"/>
  <c r="S140" i="13" l="1"/>
  <c r="O141" s="1"/>
  <c r="M142"/>
  <c r="B142"/>
  <c r="D141"/>
  <c r="C141"/>
  <c r="E141"/>
  <c r="G136"/>
  <c r="H136"/>
  <c r="I135"/>
  <c r="F137"/>
  <c r="T137"/>
  <c r="Q138" s="1"/>
  <c r="R138" s="1"/>
  <c r="I31" i="12"/>
  <c r="M135"/>
  <c r="C134"/>
  <c r="D134"/>
  <c r="E134" s="1"/>
  <c r="B135"/>
  <c r="S32"/>
  <c r="R32"/>
  <c r="F32" s="1"/>
  <c r="P134"/>
  <c r="S141" i="13" l="1"/>
  <c r="O142" s="1"/>
  <c r="M143"/>
  <c r="D142"/>
  <c r="E142" s="1"/>
  <c r="B143"/>
  <c r="C142"/>
  <c r="H137"/>
  <c r="G137"/>
  <c r="F138"/>
  <c r="T138"/>
  <c r="Q139" s="1"/>
  <c r="R139" s="1"/>
  <c r="I136"/>
  <c r="G32" i="12"/>
  <c r="H32"/>
  <c r="M136"/>
  <c r="D135"/>
  <c r="E135" s="1"/>
  <c r="B136"/>
  <c r="C135"/>
  <c r="T32"/>
  <c r="Q33" s="1"/>
  <c r="O33"/>
  <c r="P135"/>
  <c r="S142" i="13" l="1"/>
  <c r="O143" s="1"/>
  <c r="M144"/>
  <c r="B144"/>
  <c r="C143"/>
  <c r="D143"/>
  <c r="E143"/>
  <c r="I32" i="12"/>
  <c r="H138" i="13"/>
  <c r="G138"/>
  <c r="F139"/>
  <c r="T139"/>
  <c r="Q140" s="1"/>
  <c r="R140" s="1"/>
  <c r="I137"/>
  <c r="M137" i="12"/>
  <c r="B137"/>
  <c r="D136"/>
  <c r="E136" s="1"/>
  <c r="C136"/>
  <c r="S33"/>
  <c r="R33"/>
  <c r="F33" s="1"/>
  <c r="P136"/>
  <c r="S143" i="13" l="1"/>
  <c r="O144" s="1"/>
  <c r="M145"/>
  <c r="D144"/>
  <c r="B145"/>
  <c r="C144"/>
  <c r="E144"/>
  <c r="I138"/>
  <c r="H139"/>
  <c r="G139"/>
  <c r="F140"/>
  <c r="T140"/>
  <c r="Q141" s="1"/>
  <c r="R141" s="1"/>
  <c r="G33" i="12"/>
  <c r="H33"/>
  <c r="M138"/>
  <c r="C137"/>
  <c r="D137"/>
  <c r="E137" s="1"/>
  <c r="B138"/>
  <c r="O34"/>
  <c r="T33"/>
  <c r="Q34" s="1"/>
  <c r="P137"/>
  <c r="S144" i="13" l="1"/>
  <c r="O145" s="1"/>
  <c r="M146"/>
  <c r="B146"/>
  <c r="D145"/>
  <c r="E145" s="1"/>
  <c r="C145"/>
  <c r="H140"/>
  <c r="G140"/>
  <c r="F141"/>
  <c r="T141"/>
  <c r="Q142" s="1"/>
  <c r="R142" s="1"/>
  <c r="I139"/>
  <c r="I33" i="12"/>
  <c r="M139"/>
  <c r="C138"/>
  <c r="D138"/>
  <c r="E138" s="1"/>
  <c r="B139"/>
  <c r="S34"/>
  <c r="R34"/>
  <c r="F34" s="1"/>
  <c r="P138"/>
  <c r="S145" i="13" l="1"/>
  <c r="O146" s="1"/>
  <c r="M147"/>
  <c r="B147"/>
  <c r="D146"/>
  <c r="C146"/>
  <c r="E146"/>
  <c r="G141"/>
  <c r="H141"/>
  <c r="F142"/>
  <c r="T142"/>
  <c r="Q143" s="1"/>
  <c r="R143" s="1"/>
  <c r="I140"/>
  <c r="G34" i="12"/>
  <c r="H34"/>
  <c r="M140"/>
  <c r="B140"/>
  <c r="D139"/>
  <c r="E139" s="1"/>
  <c r="C139"/>
  <c r="O35"/>
  <c r="T34"/>
  <c r="Q35" s="1"/>
  <c r="P139"/>
  <c r="S146" i="13" l="1"/>
  <c r="O147" s="1"/>
  <c r="M148"/>
  <c r="B148"/>
  <c r="D147"/>
  <c r="C147"/>
  <c r="E147"/>
  <c r="H142"/>
  <c r="G142"/>
  <c r="F143"/>
  <c r="T143"/>
  <c r="Q144" s="1"/>
  <c r="R144" s="1"/>
  <c r="I141"/>
  <c r="I34" i="12"/>
  <c r="M141"/>
  <c r="C140"/>
  <c r="D140"/>
  <c r="E140" s="1"/>
  <c r="B141"/>
  <c r="S35"/>
  <c r="R35"/>
  <c r="F35" s="1"/>
  <c r="P140"/>
  <c r="S147" i="13" l="1"/>
  <c r="O148" s="1"/>
  <c r="M149"/>
  <c r="B149"/>
  <c r="C148"/>
  <c r="D148"/>
  <c r="E148" s="1"/>
  <c r="H143"/>
  <c r="G143"/>
  <c r="F144"/>
  <c r="T144"/>
  <c r="Q145" s="1"/>
  <c r="R145" s="1"/>
  <c r="I142"/>
  <c r="G35" i="12"/>
  <c r="H35"/>
  <c r="M142"/>
  <c r="C141"/>
  <c r="D141"/>
  <c r="E141" s="1"/>
  <c r="B142"/>
  <c r="O36"/>
  <c r="T35"/>
  <c r="Q36" s="1"/>
  <c r="P141"/>
  <c r="S148" i="13" l="1"/>
  <c r="O149" s="1"/>
  <c r="M150"/>
  <c r="B150"/>
  <c r="D149"/>
  <c r="C149"/>
  <c r="E149"/>
  <c r="G144"/>
  <c r="H144"/>
  <c r="F145"/>
  <c r="T145"/>
  <c r="Q146" s="1"/>
  <c r="R146" s="1"/>
  <c r="I143"/>
  <c r="I35" i="12"/>
  <c r="M143"/>
  <c r="B143"/>
  <c r="D142"/>
  <c r="E142" s="1"/>
  <c r="C142"/>
  <c r="S36"/>
  <c r="R36"/>
  <c r="F36" s="1"/>
  <c r="P142"/>
  <c r="S149" i="13" l="1"/>
  <c r="O150" s="1"/>
  <c r="M151"/>
  <c r="B151"/>
  <c r="D150"/>
  <c r="C150"/>
  <c r="E150"/>
  <c r="G145"/>
  <c r="H145"/>
  <c r="I144"/>
  <c r="F146"/>
  <c r="T146"/>
  <c r="Q147" s="1"/>
  <c r="R147" s="1"/>
  <c r="G36" i="12"/>
  <c r="H36"/>
  <c r="M144"/>
  <c r="C143"/>
  <c r="D143"/>
  <c r="E143" s="1"/>
  <c r="B144"/>
  <c r="T36"/>
  <c r="Q37" s="1"/>
  <c r="O37"/>
  <c r="P143"/>
  <c r="S150" i="13" l="1"/>
  <c r="O151" s="1"/>
  <c r="M152"/>
  <c r="B152"/>
  <c r="D151"/>
  <c r="E151" s="1"/>
  <c r="C151"/>
  <c r="H146"/>
  <c r="G146"/>
  <c r="F147"/>
  <c r="T147"/>
  <c r="Q148" s="1"/>
  <c r="R148" s="1"/>
  <c r="I145"/>
  <c r="I36" i="12"/>
  <c r="M145"/>
  <c r="D144"/>
  <c r="E144" s="1"/>
  <c r="B145"/>
  <c r="C144"/>
  <c r="S37"/>
  <c r="R37"/>
  <c r="F37" s="1"/>
  <c r="P144"/>
  <c r="S151" i="13" l="1"/>
  <c r="O152" s="1"/>
  <c r="M153"/>
  <c r="B153"/>
  <c r="D152"/>
  <c r="C152"/>
  <c r="E152"/>
  <c r="H147"/>
  <c r="G147"/>
  <c r="F148"/>
  <c r="T148"/>
  <c r="Q149" s="1"/>
  <c r="R149" s="1"/>
  <c r="I146"/>
  <c r="G37" i="12"/>
  <c r="H37"/>
  <c r="M146"/>
  <c r="B146"/>
  <c r="D145"/>
  <c r="E145" s="1"/>
  <c r="C145"/>
  <c r="T37"/>
  <c r="Q38" s="1"/>
  <c r="O38"/>
  <c r="P145"/>
  <c r="S152" i="13" l="1"/>
  <c r="O153" s="1"/>
  <c r="M154"/>
  <c r="B154"/>
  <c r="D153"/>
  <c r="C153"/>
  <c r="E153"/>
  <c r="H148"/>
  <c r="G148"/>
  <c r="I147"/>
  <c r="F149"/>
  <c r="T149"/>
  <c r="Q150" s="1"/>
  <c r="R150" s="1"/>
  <c r="I37" i="12"/>
  <c r="M147"/>
  <c r="C146"/>
  <c r="D146"/>
  <c r="E146" s="1"/>
  <c r="B147"/>
  <c r="S38"/>
  <c r="R38"/>
  <c r="F38" s="1"/>
  <c r="P146"/>
  <c r="S153" i="13" l="1"/>
  <c r="O154" s="1"/>
  <c r="M155"/>
  <c r="B155"/>
  <c r="D154"/>
  <c r="E154" s="1"/>
  <c r="C154"/>
  <c r="H149"/>
  <c r="G149"/>
  <c r="I148"/>
  <c r="F150"/>
  <c r="T150"/>
  <c r="Q151" s="1"/>
  <c r="R151" s="1"/>
  <c r="G38" i="12"/>
  <c r="H38"/>
  <c r="M148"/>
  <c r="C147"/>
  <c r="D147"/>
  <c r="E147" s="1"/>
  <c r="B148"/>
  <c r="T38"/>
  <c r="Q39" s="1"/>
  <c r="O39"/>
  <c r="P147"/>
  <c r="S154" i="13" l="1"/>
  <c r="O155" s="1"/>
  <c r="M156"/>
  <c r="B156"/>
  <c r="D155"/>
  <c r="C155"/>
  <c r="E155"/>
  <c r="H150"/>
  <c r="G150"/>
  <c r="F151"/>
  <c r="T151"/>
  <c r="Q152" s="1"/>
  <c r="R152" s="1"/>
  <c r="I149"/>
  <c r="I38" i="12"/>
  <c r="M149"/>
  <c r="B149"/>
  <c r="D148"/>
  <c r="E148" s="1"/>
  <c r="C148"/>
  <c r="S39"/>
  <c r="R39"/>
  <c r="F39" s="1"/>
  <c r="P148"/>
  <c r="S155" i="13" l="1"/>
  <c r="O156" s="1"/>
  <c r="M157"/>
  <c r="B157"/>
  <c r="D156"/>
  <c r="E156" s="1"/>
  <c r="C156"/>
  <c r="I150"/>
  <c r="G151"/>
  <c r="H151"/>
  <c r="F152"/>
  <c r="T152"/>
  <c r="Q153" s="1"/>
  <c r="R153" s="1"/>
  <c r="G39" i="12"/>
  <c r="H39"/>
  <c r="M150"/>
  <c r="C149"/>
  <c r="D149"/>
  <c r="E149" s="1"/>
  <c r="B150"/>
  <c r="O40"/>
  <c r="T39"/>
  <c r="Q40" s="1"/>
  <c r="P149"/>
  <c r="S156" i="13" l="1"/>
  <c r="O157" s="1"/>
  <c r="I157"/>
  <c r="H157"/>
  <c r="G157"/>
  <c r="M158"/>
  <c r="B158"/>
  <c r="F157"/>
  <c r="D157"/>
  <c r="C157"/>
  <c r="E157"/>
  <c r="H152"/>
  <c r="G152"/>
  <c r="I151"/>
  <c r="F153"/>
  <c r="T153"/>
  <c r="Q154" s="1"/>
  <c r="R154" s="1"/>
  <c r="I39" i="12"/>
  <c r="M151"/>
  <c r="C150"/>
  <c r="D150"/>
  <c r="E150" s="1"/>
  <c r="B151"/>
  <c r="R40"/>
  <c r="F40" s="1"/>
  <c r="S40"/>
  <c r="P150"/>
  <c r="S157" i="13" l="1"/>
  <c r="O158" s="1"/>
  <c r="F158"/>
  <c r="H158"/>
  <c r="G158"/>
  <c r="I158"/>
  <c r="M159"/>
  <c r="B159"/>
  <c r="E158"/>
  <c r="D158"/>
  <c r="C158"/>
  <c r="G153"/>
  <c r="H153"/>
  <c r="F154"/>
  <c r="T154"/>
  <c r="Q155" s="1"/>
  <c r="R155" s="1"/>
  <c r="I152"/>
  <c r="G40" i="12"/>
  <c r="H40"/>
  <c r="M152"/>
  <c r="B152"/>
  <c r="D151"/>
  <c r="E151" s="1"/>
  <c r="C151"/>
  <c r="T40"/>
  <c r="Q41" s="1"/>
  <c r="O41"/>
  <c r="P151"/>
  <c r="S158" i="13" l="1"/>
  <c r="O159" s="1"/>
  <c r="I40" i="12"/>
  <c r="F159" i="13"/>
  <c r="G159"/>
  <c r="H159"/>
  <c r="I159"/>
  <c r="M160"/>
  <c r="B160"/>
  <c r="E159"/>
  <c r="D159"/>
  <c r="C159"/>
  <c r="H154"/>
  <c r="G154"/>
  <c r="I153"/>
  <c r="F155"/>
  <c r="T155"/>
  <c r="Q156" s="1"/>
  <c r="R156" s="1"/>
  <c r="M153" i="12"/>
  <c r="C152"/>
  <c r="D152"/>
  <c r="E152" s="1"/>
  <c r="B153"/>
  <c r="R41"/>
  <c r="F41" s="1"/>
  <c r="S41"/>
  <c r="P152"/>
  <c r="S159" i="13" l="1"/>
  <c r="O160" s="1"/>
  <c r="I160"/>
  <c r="H160"/>
  <c r="G160"/>
  <c r="M161"/>
  <c r="B161"/>
  <c r="F160"/>
  <c r="E160"/>
  <c r="D160"/>
  <c r="C160"/>
  <c r="H155"/>
  <c r="G155"/>
  <c r="F156"/>
  <c r="T156"/>
  <c r="Q157" s="1"/>
  <c r="R157" s="1"/>
  <c r="T157" s="1"/>
  <c r="Q158" s="1"/>
  <c r="R158" s="1"/>
  <c r="T158" s="1"/>
  <c r="Q159" s="1"/>
  <c r="R159" s="1"/>
  <c r="I154"/>
  <c r="G41" i="12"/>
  <c r="H41"/>
  <c r="M154"/>
  <c r="D153"/>
  <c r="E153" s="1"/>
  <c r="B154"/>
  <c r="C153"/>
  <c r="O42"/>
  <c r="T41"/>
  <c r="Q42" s="1"/>
  <c r="P153"/>
  <c r="S160" i="13" l="1"/>
  <c r="O161" s="1"/>
  <c r="T159"/>
  <c r="Q160" s="1"/>
  <c r="R160" s="1"/>
  <c r="I161"/>
  <c r="H161"/>
  <c r="G161"/>
  <c r="M162"/>
  <c r="B162"/>
  <c r="F161"/>
  <c r="E161"/>
  <c r="D161"/>
  <c r="C161"/>
  <c r="G156"/>
  <c r="H156"/>
  <c r="I155"/>
  <c r="I41" i="12"/>
  <c r="M155"/>
  <c r="B155"/>
  <c r="D154"/>
  <c r="E154" s="1"/>
  <c r="C154"/>
  <c r="S42"/>
  <c r="R42"/>
  <c r="F42" s="1"/>
  <c r="P154"/>
  <c r="S161" i="13" l="1"/>
  <c r="O162" s="1"/>
  <c r="T160"/>
  <c r="Q161" s="1"/>
  <c r="R161" s="1"/>
  <c r="F162"/>
  <c r="G162"/>
  <c r="H162"/>
  <c r="I162"/>
  <c r="M163"/>
  <c r="B163"/>
  <c r="E162"/>
  <c r="D162"/>
  <c r="C162"/>
  <c r="I156"/>
  <c r="G12"/>
  <c r="G14" s="1"/>
  <c r="G15" s="1"/>
  <c r="G42" i="12"/>
  <c r="H42"/>
  <c r="M156"/>
  <c r="C155"/>
  <c r="D155"/>
  <c r="E155" s="1"/>
  <c r="B156"/>
  <c r="T42"/>
  <c r="Q43" s="1"/>
  <c r="O43"/>
  <c r="P155"/>
  <c r="S162" i="13" l="1"/>
  <c r="O163" s="1"/>
  <c r="T161"/>
  <c r="Q162" s="1"/>
  <c r="R162" s="1"/>
  <c r="F163"/>
  <c r="H163"/>
  <c r="G163"/>
  <c r="I163"/>
  <c r="M164"/>
  <c r="B164"/>
  <c r="E163"/>
  <c r="D163"/>
  <c r="C163"/>
  <c r="G10"/>
  <c r="G13" s="1"/>
  <c r="I42" i="12"/>
  <c r="M157"/>
  <c r="C156"/>
  <c r="D156"/>
  <c r="E156" s="1"/>
  <c r="B157"/>
  <c r="S43"/>
  <c r="R43"/>
  <c r="F43" s="1"/>
  <c r="P156"/>
  <c r="T162" i="13" l="1"/>
  <c r="Q163" s="1"/>
  <c r="R163" s="1"/>
  <c r="T163" s="1"/>
  <c r="Q164" s="1"/>
  <c r="R164" s="1"/>
  <c r="S163"/>
  <c r="O164" s="1"/>
  <c r="I164"/>
  <c r="H164"/>
  <c r="G164"/>
  <c r="M165"/>
  <c r="B165"/>
  <c r="F164"/>
  <c r="E164"/>
  <c r="D164"/>
  <c r="C164"/>
  <c r="G43" i="12"/>
  <c r="H43"/>
  <c r="M158"/>
  <c r="B158"/>
  <c r="D157"/>
  <c r="E157" s="1"/>
  <c r="C157"/>
  <c r="T43"/>
  <c r="Q44" s="1"/>
  <c r="O44"/>
  <c r="P157"/>
  <c r="S164" i="13" l="1"/>
  <c r="O165" s="1"/>
  <c r="I165"/>
  <c r="H165"/>
  <c r="G165"/>
  <c r="M166"/>
  <c r="B166"/>
  <c r="F165"/>
  <c r="E165"/>
  <c r="D165"/>
  <c r="C165"/>
  <c r="I43" i="12"/>
  <c r="M159"/>
  <c r="D158"/>
  <c r="E158" s="1"/>
  <c r="C158"/>
  <c r="B159"/>
  <c r="S44"/>
  <c r="R44"/>
  <c r="F44" s="1"/>
  <c r="P158"/>
  <c r="T164" i="13" l="1"/>
  <c r="Q165" s="1"/>
  <c r="R165" s="1"/>
  <c r="S165"/>
  <c r="O166" s="1"/>
  <c r="F166"/>
  <c r="H166"/>
  <c r="G166"/>
  <c r="I166"/>
  <c r="M167"/>
  <c r="B167"/>
  <c r="E166"/>
  <c r="D166"/>
  <c r="C166"/>
  <c r="G44" i="12"/>
  <c r="H44"/>
  <c r="M160"/>
  <c r="C159"/>
  <c r="D159"/>
  <c r="E159" s="1"/>
  <c r="B160"/>
  <c r="T44"/>
  <c r="Q45" s="1"/>
  <c r="O45"/>
  <c r="P159"/>
  <c r="T165" i="13" l="1"/>
  <c r="Q166" s="1"/>
  <c r="R166" s="1"/>
  <c r="T166" s="1"/>
  <c r="Q167" s="1"/>
  <c r="R167" s="1"/>
  <c r="S166"/>
  <c r="O167" s="1"/>
  <c r="F167"/>
  <c r="G167"/>
  <c r="H167"/>
  <c r="I167"/>
  <c r="M168"/>
  <c r="B168"/>
  <c r="E167"/>
  <c r="D167"/>
  <c r="C167"/>
  <c r="I44" i="12"/>
  <c r="M161"/>
  <c r="B161"/>
  <c r="D160"/>
  <c r="E160" s="1"/>
  <c r="C160"/>
  <c r="S45"/>
  <c r="R45"/>
  <c r="F45" s="1"/>
  <c r="P160"/>
  <c r="S167" i="13" l="1"/>
  <c r="I168"/>
  <c r="H168"/>
  <c r="G168"/>
  <c r="M169"/>
  <c r="B169"/>
  <c r="F168"/>
  <c r="E168"/>
  <c r="D168"/>
  <c r="C168"/>
  <c r="G45" i="12"/>
  <c r="H45"/>
  <c r="D161"/>
  <c r="E161" s="1"/>
  <c r="C161"/>
  <c r="B162"/>
  <c r="O46"/>
  <c r="T45"/>
  <c r="Q46" s="1"/>
  <c r="P161"/>
  <c r="O168" i="13" l="1"/>
  <c r="S168" s="1"/>
  <c r="T167"/>
  <c r="Q168" s="1"/>
  <c r="I169"/>
  <c r="H169"/>
  <c r="G169"/>
  <c r="M170"/>
  <c r="B170"/>
  <c r="F169"/>
  <c r="E169"/>
  <c r="D169"/>
  <c r="C169"/>
  <c r="I45" i="12"/>
  <c r="H162"/>
  <c r="C162"/>
  <c r="D162"/>
  <c r="E162"/>
  <c r="F162" s="1"/>
  <c r="I162"/>
  <c r="S46"/>
  <c r="R46"/>
  <c r="F46" s="1"/>
  <c r="O169" i="13" l="1"/>
  <c r="S169" s="1"/>
  <c r="T168"/>
  <c r="Q169" s="1"/>
  <c r="R168"/>
  <c r="F170"/>
  <c r="H170"/>
  <c r="G170"/>
  <c r="I170"/>
  <c r="M171"/>
  <c r="B171"/>
  <c r="E170"/>
  <c r="D170"/>
  <c r="C170"/>
  <c r="G46" i="12"/>
  <c r="H46"/>
  <c r="O47"/>
  <c r="T46"/>
  <c r="Q47" s="1"/>
  <c r="O170" i="13" l="1"/>
  <c r="S170" s="1"/>
  <c r="T169"/>
  <c r="Q170" s="1"/>
  <c r="R169"/>
  <c r="F171"/>
  <c r="H171"/>
  <c r="G171"/>
  <c r="I171"/>
  <c r="M172"/>
  <c r="B172"/>
  <c r="E171"/>
  <c r="D171"/>
  <c r="C171"/>
  <c r="I46" i="12"/>
  <c r="S47"/>
  <c r="R47"/>
  <c r="F47" s="1"/>
  <c r="R170" i="13" l="1"/>
  <c r="O171"/>
  <c r="S171" s="1"/>
  <c r="T170"/>
  <c r="Q171" s="1"/>
  <c r="I172"/>
  <c r="H172"/>
  <c r="G172"/>
  <c r="M173"/>
  <c r="B173"/>
  <c r="F172"/>
  <c r="E172"/>
  <c r="D172"/>
  <c r="C172"/>
  <c r="G47" i="12"/>
  <c r="H47"/>
  <c r="T47"/>
  <c r="Q48" s="1"/>
  <c r="O48"/>
  <c r="O172" i="13" l="1"/>
  <c r="S172" s="1"/>
  <c r="T171"/>
  <c r="Q172" s="1"/>
  <c r="R171"/>
  <c r="I173"/>
  <c r="H173"/>
  <c r="G173"/>
  <c r="M174"/>
  <c r="B174"/>
  <c r="F173"/>
  <c r="E173"/>
  <c r="D173"/>
  <c r="C173"/>
  <c r="I47" i="12"/>
  <c r="S48"/>
  <c r="R48"/>
  <c r="F48" s="1"/>
  <c r="O173" i="13" l="1"/>
  <c r="S173" s="1"/>
  <c r="T172"/>
  <c r="Q173" s="1"/>
  <c r="R172"/>
  <c r="F174"/>
  <c r="H174"/>
  <c r="G174"/>
  <c r="I174"/>
  <c r="M175"/>
  <c r="B175"/>
  <c r="E174"/>
  <c r="D174"/>
  <c r="C174"/>
  <c r="G48" i="12"/>
  <c r="H48"/>
  <c r="O49"/>
  <c r="T48"/>
  <c r="Q49" s="1"/>
  <c r="R173" i="13" l="1"/>
  <c r="O174"/>
  <c r="S174" s="1"/>
  <c r="T173"/>
  <c r="Q174" s="1"/>
  <c r="F175"/>
  <c r="H175"/>
  <c r="G175"/>
  <c r="I175"/>
  <c r="M176"/>
  <c r="B176"/>
  <c r="E175"/>
  <c r="D175"/>
  <c r="C175"/>
  <c r="I48" i="12"/>
  <c r="R49"/>
  <c r="F49" s="1"/>
  <c r="S49"/>
  <c r="R174" i="13" l="1"/>
  <c r="O175"/>
  <c r="S175" s="1"/>
  <c r="O176" s="1"/>
  <c r="T174"/>
  <c r="Q175" s="1"/>
  <c r="I176"/>
  <c r="H176"/>
  <c r="G176"/>
  <c r="M177"/>
  <c r="B177"/>
  <c r="F176"/>
  <c r="E176"/>
  <c r="C176"/>
  <c r="D176"/>
  <c r="G49" i="12"/>
  <c r="H49"/>
  <c r="T49"/>
  <c r="Q50" s="1"/>
  <c r="O50"/>
  <c r="R175" i="13" l="1"/>
  <c r="T175"/>
  <c r="Q176" s="1"/>
  <c r="R176" s="1"/>
  <c r="S176"/>
  <c r="C177"/>
  <c r="H177"/>
  <c r="G177"/>
  <c r="M178"/>
  <c r="B178"/>
  <c r="I177"/>
  <c r="F177"/>
  <c r="E177"/>
  <c r="D177"/>
  <c r="I49" i="12"/>
  <c r="R50"/>
  <c r="F50" s="1"/>
  <c r="S50"/>
  <c r="O177" i="13" l="1"/>
  <c r="S177" s="1"/>
  <c r="T176"/>
  <c r="Q177" s="1"/>
  <c r="F178"/>
  <c r="G178"/>
  <c r="H178"/>
  <c r="I178"/>
  <c r="M179"/>
  <c r="B179"/>
  <c r="E178"/>
  <c r="C178"/>
  <c r="D178"/>
  <c r="G50" i="12"/>
  <c r="H50"/>
  <c r="T50"/>
  <c r="Q51" s="1"/>
  <c r="O51"/>
  <c r="O178" i="13" l="1"/>
  <c r="S178" s="1"/>
  <c r="T177"/>
  <c r="Q178" s="1"/>
  <c r="R177"/>
  <c r="F179"/>
  <c r="H179"/>
  <c r="G179"/>
  <c r="I179"/>
  <c r="M180"/>
  <c r="B180"/>
  <c r="E179"/>
  <c r="D179"/>
  <c r="C179"/>
  <c r="I50" i="12"/>
  <c r="S51"/>
  <c r="R51"/>
  <c r="F51" s="1"/>
  <c r="O179" i="13" l="1"/>
  <c r="S179" s="1"/>
  <c r="T178"/>
  <c r="Q179" s="1"/>
  <c r="R178"/>
  <c r="I180"/>
  <c r="H180"/>
  <c r="G180"/>
  <c r="M181"/>
  <c r="B181"/>
  <c r="F180"/>
  <c r="E180"/>
  <c r="C180"/>
  <c r="D180"/>
  <c r="G51" i="12"/>
  <c r="H51"/>
  <c r="O52"/>
  <c r="T51"/>
  <c r="Q52" s="1"/>
  <c r="R179" i="13" l="1"/>
  <c r="O180"/>
  <c r="S180" s="1"/>
  <c r="T179"/>
  <c r="Q180" s="1"/>
  <c r="I181"/>
  <c r="H181"/>
  <c r="G181"/>
  <c r="M182"/>
  <c r="B182"/>
  <c r="F181"/>
  <c r="E181"/>
  <c r="C181"/>
  <c r="D181"/>
  <c r="I51" i="12"/>
  <c r="S52"/>
  <c r="R52"/>
  <c r="F52" s="1"/>
  <c r="O181" i="13" l="1"/>
  <c r="S181" s="1"/>
  <c r="T180"/>
  <c r="Q181" s="1"/>
  <c r="R180"/>
  <c r="F182"/>
  <c r="G182"/>
  <c r="H182"/>
  <c r="I182"/>
  <c r="M183"/>
  <c r="B183"/>
  <c r="E182"/>
  <c r="D182"/>
  <c r="C182"/>
  <c r="G52" i="12"/>
  <c r="H52"/>
  <c r="T52"/>
  <c r="Q53" s="1"/>
  <c r="O53"/>
  <c r="R181" i="13" l="1"/>
  <c r="O182"/>
  <c r="S182" s="1"/>
  <c r="T181"/>
  <c r="Q182" s="1"/>
  <c r="F183"/>
  <c r="H183"/>
  <c r="G183"/>
  <c r="I183"/>
  <c r="M184"/>
  <c r="B184"/>
  <c r="E183"/>
  <c r="D183"/>
  <c r="C183"/>
  <c r="I52" i="12"/>
  <c r="S53"/>
  <c r="R53"/>
  <c r="F53" s="1"/>
  <c r="R182" i="13" l="1"/>
  <c r="O183"/>
  <c r="S183" s="1"/>
  <c r="T182"/>
  <c r="Q183" s="1"/>
  <c r="I184"/>
  <c r="H184"/>
  <c r="G184"/>
  <c r="M185"/>
  <c r="B185"/>
  <c r="F184"/>
  <c r="E184"/>
  <c r="D184"/>
  <c r="C184"/>
  <c r="G53" i="12"/>
  <c r="H53"/>
  <c r="T53"/>
  <c r="Q54" s="1"/>
  <c r="O54"/>
  <c r="O184" i="13" l="1"/>
  <c r="S184" s="1"/>
  <c r="T183"/>
  <c r="Q184" s="1"/>
  <c r="R183"/>
  <c r="I185"/>
  <c r="G185"/>
  <c r="H185"/>
  <c r="M186"/>
  <c r="B186"/>
  <c r="E185"/>
  <c r="D185"/>
  <c r="C185"/>
  <c r="F185"/>
  <c r="I53" i="12"/>
  <c r="R54"/>
  <c r="F54" s="1"/>
  <c r="S54"/>
  <c r="O185" i="13" l="1"/>
  <c r="S185" s="1"/>
  <c r="T184"/>
  <c r="Q185" s="1"/>
  <c r="R184"/>
  <c r="F186"/>
  <c r="H186"/>
  <c r="G186"/>
  <c r="I186"/>
  <c r="M187"/>
  <c r="B187"/>
  <c r="E186"/>
  <c r="D186"/>
  <c r="C186"/>
  <c r="G54" i="12"/>
  <c r="H54"/>
  <c r="O55"/>
  <c r="T54"/>
  <c r="Q55" s="1"/>
  <c r="R185" i="13" l="1"/>
  <c r="O186"/>
  <c r="S186" s="1"/>
  <c r="T185"/>
  <c r="Q186" s="1"/>
  <c r="F187"/>
  <c r="H187"/>
  <c r="G187"/>
  <c r="I187"/>
  <c r="M188"/>
  <c r="B188"/>
  <c r="E187"/>
  <c r="D187"/>
  <c r="C187"/>
  <c r="I54" i="12"/>
  <c r="S55"/>
  <c r="R55"/>
  <c r="F55" s="1"/>
  <c r="R186" i="13" l="1"/>
  <c r="O187"/>
  <c r="S187" s="1"/>
  <c r="T186"/>
  <c r="Q187" s="1"/>
  <c r="I188"/>
  <c r="G188"/>
  <c r="H188"/>
  <c r="M189"/>
  <c r="B189"/>
  <c r="F188"/>
  <c r="E188"/>
  <c r="D188"/>
  <c r="C188"/>
  <c r="G55" i="12"/>
  <c r="H55"/>
  <c r="T55"/>
  <c r="Q56" s="1"/>
  <c r="O56"/>
  <c r="O188" i="13" l="1"/>
  <c r="S188" s="1"/>
  <c r="T187"/>
  <c r="Q188" s="1"/>
  <c r="R187"/>
  <c r="I189"/>
  <c r="G189"/>
  <c r="H189"/>
  <c r="M190"/>
  <c r="B190"/>
  <c r="F189"/>
  <c r="D189"/>
  <c r="E189"/>
  <c r="C189"/>
  <c r="I55" i="12"/>
  <c r="S56"/>
  <c r="R56"/>
  <c r="F56" s="1"/>
  <c r="O189" i="13" l="1"/>
  <c r="S189" s="1"/>
  <c r="T188"/>
  <c r="Q189" s="1"/>
  <c r="R188"/>
  <c r="F190"/>
  <c r="H190"/>
  <c r="G190"/>
  <c r="I190"/>
  <c r="M191"/>
  <c r="B191"/>
  <c r="E190"/>
  <c r="D190"/>
  <c r="C190"/>
  <c r="G56" i="12"/>
  <c r="H56"/>
  <c r="O57"/>
  <c r="T56"/>
  <c r="Q57" s="1"/>
  <c r="R189" i="13" l="1"/>
  <c r="O190"/>
  <c r="S190" s="1"/>
  <c r="T189"/>
  <c r="Q190" s="1"/>
  <c r="F191"/>
  <c r="H191"/>
  <c r="G191"/>
  <c r="I191"/>
  <c r="M192"/>
  <c r="B192"/>
  <c r="E191"/>
  <c r="D191"/>
  <c r="C191"/>
  <c r="I56" i="12"/>
  <c r="R57"/>
  <c r="F57" s="1"/>
  <c r="S57"/>
  <c r="R190" i="13" l="1"/>
  <c r="O191"/>
  <c r="S191" s="1"/>
  <c r="T190"/>
  <c r="Q191" s="1"/>
  <c r="I192"/>
  <c r="G192"/>
  <c r="H192"/>
  <c r="M193"/>
  <c r="B193"/>
  <c r="F192"/>
  <c r="E192"/>
  <c r="C192"/>
  <c r="D192"/>
  <c r="G57" i="12"/>
  <c r="H57"/>
  <c r="T57"/>
  <c r="Q58" s="1"/>
  <c r="O58"/>
  <c r="O192" i="13" l="1"/>
  <c r="S192" s="1"/>
  <c r="T191"/>
  <c r="Q192" s="1"/>
  <c r="R191"/>
  <c r="I193"/>
  <c r="H193"/>
  <c r="G193"/>
  <c r="M194"/>
  <c r="B194"/>
  <c r="E193"/>
  <c r="D193"/>
  <c r="C193"/>
  <c r="F193"/>
  <c r="I57" i="12"/>
  <c r="R58"/>
  <c r="F58" s="1"/>
  <c r="S58"/>
  <c r="O59" s="1"/>
  <c r="O193" i="13" l="1"/>
  <c r="S193" s="1"/>
  <c r="T192"/>
  <c r="Q193" s="1"/>
  <c r="R192"/>
  <c r="F194"/>
  <c r="H194"/>
  <c r="G194"/>
  <c r="I194"/>
  <c r="M195"/>
  <c r="B195"/>
  <c r="E194"/>
  <c r="D194"/>
  <c r="C194"/>
  <c r="G58" i="12"/>
  <c r="H58"/>
  <c r="S59"/>
  <c r="T58"/>
  <c r="Q59" s="1"/>
  <c r="R59" s="1"/>
  <c r="F59" s="1"/>
  <c r="O194" i="13" l="1"/>
  <c r="S194" s="1"/>
  <c r="T193"/>
  <c r="Q194" s="1"/>
  <c r="R193"/>
  <c r="E195"/>
  <c r="H195"/>
  <c r="G195"/>
  <c r="I195"/>
  <c r="M196"/>
  <c r="B196"/>
  <c r="D195"/>
  <c r="C195"/>
  <c r="F195"/>
  <c r="G59" i="12"/>
  <c r="H59"/>
  <c r="T59"/>
  <c r="Q60" s="1"/>
  <c r="O60"/>
  <c r="I58"/>
  <c r="O195" i="13" l="1"/>
  <c r="S195" s="1"/>
  <c r="T194"/>
  <c r="Q195" s="1"/>
  <c r="R194"/>
  <c r="I196"/>
  <c r="H196"/>
  <c r="G196"/>
  <c r="M197"/>
  <c r="B197"/>
  <c r="F196"/>
  <c r="D196"/>
  <c r="C196"/>
  <c r="E196"/>
  <c r="I59" i="12"/>
  <c r="R60"/>
  <c r="F60" s="1"/>
  <c r="S60"/>
  <c r="R195" i="13" l="1"/>
  <c r="O196"/>
  <c r="S196" s="1"/>
  <c r="T195"/>
  <c r="Q196" s="1"/>
  <c r="I197"/>
  <c r="H197"/>
  <c r="G197"/>
  <c r="M198"/>
  <c r="B198"/>
  <c r="F197"/>
  <c r="D197"/>
  <c r="E197"/>
  <c r="C197"/>
  <c r="G60" i="12"/>
  <c r="H60"/>
  <c r="T60"/>
  <c r="Q61" s="1"/>
  <c r="O61"/>
  <c r="O197" i="13" l="1"/>
  <c r="S197" s="1"/>
  <c r="T196"/>
  <c r="Q197" s="1"/>
  <c r="R196"/>
  <c r="F198"/>
  <c r="H198"/>
  <c r="G198"/>
  <c r="I198"/>
  <c r="M199"/>
  <c r="B199"/>
  <c r="E198"/>
  <c r="D198"/>
  <c r="C198"/>
  <c r="I60" i="12"/>
  <c r="R61"/>
  <c r="F61" s="1"/>
  <c r="H61" s="1"/>
  <c r="S61"/>
  <c r="R197" i="13" l="1"/>
  <c r="O198"/>
  <c r="S198" s="1"/>
  <c r="T197"/>
  <c r="Q198" s="1"/>
  <c r="F199"/>
  <c r="G199"/>
  <c r="H199"/>
  <c r="I199"/>
  <c r="M200"/>
  <c r="B200"/>
  <c r="E199"/>
  <c r="D199"/>
  <c r="C199"/>
  <c r="G61" i="12"/>
  <c r="I61" s="1"/>
  <c r="T61"/>
  <c r="Q62" s="1"/>
  <c r="O62"/>
  <c r="R198" i="13" l="1"/>
  <c r="O199"/>
  <c r="S199" s="1"/>
  <c r="T198"/>
  <c r="Q199" s="1"/>
  <c r="I200"/>
  <c r="H200"/>
  <c r="G200"/>
  <c r="M201"/>
  <c r="B201"/>
  <c r="F200"/>
  <c r="E200"/>
  <c r="D200"/>
  <c r="C200"/>
  <c r="R62" i="12"/>
  <c r="F62" s="1"/>
  <c r="S62"/>
  <c r="O200" i="13" l="1"/>
  <c r="S200" s="1"/>
  <c r="T199"/>
  <c r="Q200" s="1"/>
  <c r="R199"/>
  <c r="I201"/>
  <c r="H201"/>
  <c r="G201"/>
  <c r="M202"/>
  <c r="B202"/>
  <c r="F201"/>
  <c r="E201"/>
  <c r="D201"/>
  <c r="C201"/>
  <c r="G62" i="12"/>
  <c r="H62"/>
  <c r="T62"/>
  <c r="Q63" s="1"/>
  <c r="O63"/>
  <c r="O201" i="13" l="1"/>
  <c r="S201" s="1"/>
  <c r="T200"/>
  <c r="Q201" s="1"/>
  <c r="R200"/>
  <c r="F202"/>
  <c r="G202"/>
  <c r="H202"/>
  <c r="I202"/>
  <c r="M203"/>
  <c r="B203"/>
  <c r="E202"/>
  <c r="D202"/>
  <c r="C202"/>
  <c r="I62" i="12"/>
  <c r="R63"/>
  <c r="F63" s="1"/>
  <c r="S63"/>
  <c r="O202" i="13" l="1"/>
  <c r="S202" s="1"/>
  <c r="O203" s="1"/>
  <c r="T201"/>
  <c r="Q202" s="1"/>
  <c r="R201"/>
  <c r="E203"/>
  <c r="H203"/>
  <c r="G203"/>
  <c r="I203"/>
  <c r="M204"/>
  <c r="B204"/>
  <c r="D203"/>
  <c r="C203"/>
  <c r="F203"/>
  <c r="G63" i="12"/>
  <c r="H63"/>
  <c r="O64"/>
  <c r="T63"/>
  <c r="Q64" s="1"/>
  <c r="S203" i="13" l="1"/>
  <c r="O204" s="1"/>
  <c r="R202"/>
  <c r="T202" s="1"/>
  <c r="Q203" s="1"/>
  <c r="R203" s="1"/>
  <c r="I204"/>
  <c r="H204"/>
  <c r="G204"/>
  <c r="M205"/>
  <c r="B205"/>
  <c r="F204"/>
  <c r="E204"/>
  <c r="D204"/>
  <c r="C204"/>
  <c r="I63" i="12"/>
  <c r="R64"/>
  <c r="F64" s="1"/>
  <c r="S64"/>
  <c r="S204" i="13" l="1"/>
  <c r="O205" s="1"/>
  <c r="T203"/>
  <c r="Q204" s="1"/>
  <c r="R204" s="1"/>
  <c r="I205"/>
  <c r="G205"/>
  <c r="H205"/>
  <c r="M206"/>
  <c r="B206"/>
  <c r="F205"/>
  <c r="E205"/>
  <c r="D205"/>
  <c r="C205"/>
  <c r="G64" i="12"/>
  <c r="H64"/>
  <c r="T64"/>
  <c r="Q65" s="1"/>
  <c r="O65"/>
  <c r="T204" i="13" l="1"/>
  <c r="Q205" s="1"/>
  <c r="R205" s="1"/>
  <c r="S205"/>
  <c r="O206" s="1"/>
  <c r="F206"/>
  <c r="H206"/>
  <c r="G206"/>
  <c r="I206"/>
  <c r="M207"/>
  <c r="B207"/>
  <c r="E206"/>
  <c r="D206"/>
  <c r="C206"/>
  <c r="I64" i="12"/>
  <c r="R65"/>
  <c r="F65" s="1"/>
  <c r="H65" s="1"/>
  <c r="S65"/>
  <c r="S206" i="13" l="1"/>
  <c r="O207" s="1"/>
  <c r="T205"/>
  <c r="Q206" s="1"/>
  <c r="R206" s="1"/>
  <c r="F207"/>
  <c r="G207"/>
  <c r="H207"/>
  <c r="I207"/>
  <c r="M208"/>
  <c r="B208"/>
  <c r="E207"/>
  <c r="D207"/>
  <c r="C207"/>
  <c r="G65" i="12"/>
  <c r="I65" s="1"/>
  <c r="T65"/>
  <c r="Q66" s="1"/>
  <c r="O66"/>
  <c r="S207" i="13" l="1"/>
  <c r="O208" s="1"/>
  <c r="T206"/>
  <c r="Q207" s="1"/>
  <c r="R207" s="1"/>
  <c r="I208"/>
  <c r="G208"/>
  <c r="H208"/>
  <c r="M209"/>
  <c r="B209"/>
  <c r="F208"/>
  <c r="E208"/>
  <c r="D208"/>
  <c r="C208"/>
  <c r="R66" i="12"/>
  <c r="F66" s="1"/>
  <c r="S66"/>
  <c r="S208" i="13" l="1"/>
  <c r="O209" s="1"/>
  <c r="T207"/>
  <c r="Q208" s="1"/>
  <c r="R208" s="1"/>
  <c r="I209"/>
  <c r="H209"/>
  <c r="G209"/>
  <c r="M210"/>
  <c r="B210"/>
  <c r="F209"/>
  <c r="E209"/>
  <c r="D209"/>
  <c r="C209"/>
  <c r="G66" i="12"/>
  <c r="H66"/>
  <c r="T66"/>
  <c r="Q67" s="1"/>
  <c r="O67"/>
  <c r="S209" i="13" l="1"/>
  <c r="O210" s="1"/>
  <c r="T208"/>
  <c r="Q209" s="1"/>
  <c r="R209" s="1"/>
  <c r="F210"/>
  <c r="H210"/>
  <c r="G210"/>
  <c r="I210"/>
  <c r="M211"/>
  <c r="B211"/>
  <c r="E210"/>
  <c r="D210"/>
  <c r="C210"/>
  <c r="I66" i="12"/>
  <c r="R67"/>
  <c r="F67" s="1"/>
  <c r="S67"/>
  <c r="S210" i="13" l="1"/>
  <c r="O211" s="1"/>
  <c r="T209"/>
  <c r="Q210" s="1"/>
  <c r="R210" s="1"/>
  <c r="F211"/>
  <c r="H211"/>
  <c r="G211"/>
  <c r="I211"/>
  <c r="M212"/>
  <c r="B212"/>
  <c r="E211"/>
  <c r="D211"/>
  <c r="C211"/>
  <c r="G67" i="12"/>
  <c r="H67"/>
  <c r="T67"/>
  <c r="Q68" s="1"/>
  <c r="O68"/>
  <c r="S211" i="13" l="1"/>
  <c r="O212" s="1"/>
  <c r="T210"/>
  <c r="Q211" s="1"/>
  <c r="R211" s="1"/>
  <c r="I212"/>
  <c r="G212"/>
  <c r="H212"/>
  <c r="M213"/>
  <c r="B213"/>
  <c r="F212"/>
  <c r="E212"/>
  <c r="D212"/>
  <c r="C212"/>
  <c r="I67" i="12"/>
  <c r="R68"/>
  <c r="F68" s="1"/>
  <c r="S68"/>
  <c r="S212" i="13" l="1"/>
  <c r="O213" s="1"/>
  <c r="T211"/>
  <c r="Q212" s="1"/>
  <c r="R212" s="1"/>
  <c r="I213"/>
  <c r="H213"/>
  <c r="G213"/>
  <c r="M214"/>
  <c r="B214"/>
  <c r="E213"/>
  <c r="D213"/>
  <c r="C213"/>
  <c r="F213"/>
  <c r="G68" i="12"/>
  <c r="H68"/>
  <c r="O69"/>
  <c r="T68"/>
  <c r="Q69" s="1"/>
  <c r="S213" i="13" l="1"/>
  <c r="O214" s="1"/>
  <c r="T212"/>
  <c r="Q213" s="1"/>
  <c r="R213" s="1"/>
  <c r="F214"/>
  <c r="H214"/>
  <c r="G214"/>
  <c r="I214"/>
  <c r="M215"/>
  <c r="B215"/>
  <c r="D214"/>
  <c r="E214"/>
  <c r="C214"/>
  <c r="I68" i="12"/>
  <c r="R69"/>
  <c r="F69" s="1"/>
  <c r="S69"/>
  <c r="S214" i="13" l="1"/>
  <c r="O215" s="1"/>
  <c r="T213"/>
  <c r="Q214" s="1"/>
  <c r="R214" s="1"/>
  <c r="F215"/>
  <c r="G215"/>
  <c r="H215"/>
  <c r="I215"/>
  <c r="M216"/>
  <c r="B216"/>
  <c r="E215"/>
  <c r="D215"/>
  <c r="C215"/>
  <c r="G69" i="12"/>
  <c r="H69"/>
  <c r="T69"/>
  <c r="Q70" s="1"/>
  <c r="O70"/>
  <c r="S215" i="13" l="1"/>
  <c r="O216" s="1"/>
  <c r="T214"/>
  <c r="Q215" s="1"/>
  <c r="R215" s="1"/>
  <c r="I216"/>
  <c r="H216"/>
  <c r="G216"/>
  <c r="M217"/>
  <c r="B217"/>
  <c r="F216"/>
  <c r="E216"/>
  <c r="D216"/>
  <c r="C216"/>
  <c r="I69" i="12"/>
  <c r="R70"/>
  <c r="F70" s="1"/>
  <c r="S70"/>
  <c r="S216" i="13" l="1"/>
  <c r="O217" s="1"/>
  <c r="T215"/>
  <c r="Q216" s="1"/>
  <c r="R216" s="1"/>
  <c r="I217"/>
  <c r="H217"/>
  <c r="G217"/>
  <c r="M218"/>
  <c r="B218"/>
  <c r="F217"/>
  <c r="E217"/>
  <c r="C217"/>
  <c r="D217"/>
  <c r="G70" i="12"/>
  <c r="H70"/>
  <c r="T70"/>
  <c r="Q71" s="1"/>
  <c r="O71"/>
  <c r="T216" i="13" l="1"/>
  <c r="Q217" s="1"/>
  <c r="R217" s="1"/>
  <c r="S217"/>
  <c r="O218" s="1"/>
  <c r="F218"/>
  <c r="H218"/>
  <c r="G218"/>
  <c r="I218"/>
  <c r="M219"/>
  <c r="B219"/>
  <c r="E218"/>
  <c r="D218"/>
  <c r="C218"/>
  <c r="I70" i="12"/>
  <c r="R71"/>
  <c r="F71" s="1"/>
  <c r="S71"/>
  <c r="T217" i="13" l="1"/>
  <c r="Q218" s="1"/>
  <c r="R218" s="1"/>
  <c r="T218" s="1"/>
  <c r="Q219" s="1"/>
  <c r="R219" s="1"/>
  <c r="S218"/>
  <c r="O219" s="1"/>
  <c r="F219"/>
  <c r="G219"/>
  <c r="H219"/>
  <c r="I219"/>
  <c r="M220"/>
  <c r="B220"/>
  <c r="E219"/>
  <c r="D219"/>
  <c r="C219"/>
  <c r="G71" i="12"/>
  <c r="H71"/>
  <c r="T71"/>
  <c r="Q72" s="1"/>
  <c r="O72"/>
  <c r="S219" i="13" l="1"/>
  <c r="O220" s="1"/>
  <c r="I220"/>
  <c r="H220"/>
  <c r="G220"/>
  <c r="M221"/>
  <c r="B221"/>
  <c r="F220"/>
  <c r="E220"/>
  <c r="D220"/>
  <c r="C220"/>
  <c r="I71" i="12"/>
  <c r="R72"/>
  <c r="F72" s="1"/>
  <c r="S72"/>
  <c r="S220" i="13" l="1"/>
  <c r="O221" s="1"/>
  <c r="T219"/>
  <c r="Q220" s="1"/>
  <c r="R220" s="1"/>
  <c r="I221"/>
  <c r="H221"/>
  <c r="G221"/>
  <c r="M222"/>
  <c r="B222"/>
  <c r="F221"/>
  <c r="E221"/>
  <c r="D221"/>
  <c r="C221"/>
  <c r="G72" i="12"/>
  <c r="H72"/>
  <c r="T72"/>
  <c r="Q73" s="1"/>
  <c r="O73"/>
  <c r="T220" i="13" l="1"/>
  <c r="Q221" s="1"/>
  <c r="R221" s="1"/>
  <c r="T221" s="1"/>
  <c r="Q222" s="1"/>
  <c r="R222" s="1"/>
  <c r="S221"/>
  <c r="O222" s="1"/>
  <c r="F222"/>
  <c r="H222"/>
  <c r="G222"/>
  <c r="I222"/>
  <c r="M223"/>
  <c r="B223"/>
  <c r="E222"/>
  <c r="C222"/>
  <c r="D222"/>
  <c r="I72" i="12"/>
  <c r="R73"/>
  <c r="F73" s="1"/>
  <c r="S73"/>
  <c r="S222" i="13" l="1"/>
  <c r="F223"/>
  <c r="H223"/>
  <c r="G223"/>
  <c r="I223"/>
  <c r="M224"/>
  <c r="B224"/>
  <c r="E223"/>
  <c r="D223"/>
  <c r="C223"/>
  <c r="G73" i="12"/>
  <c r="H73"/>
  <c r="T73"/>
  <c r="Q74" s="1"/>
  <c r="O74"/>
  <c r="O223" i="13" l="1"/>
  <c r="S223" s="1"/>
  <c r="T222"/>
  <c r="Q223" s="1"/>
  <c r="I224"/>
  <c r="H224"/>
  <c r="G224"/>
  <c r="M225"/>
  <c r="B225"/>
  <c r="F224"/>
  <c r="E224"/>
  <c r="D224"/>
  <c r="C224"/>
  <c r="I73" i="12"/>
  <c r="R74"/>
  <c r="F74" s="1"/>
  <c r="S74"/>
  <c r="R223" i="13" l="1"/>
  <c r="O224"/>
  <c r="S224" s="1"/>
  <c r="T223"/>
  <c r="Q224" s="1"/>
  <c r="I225"/>
  <c r="G225"/>
  <c r="H225"/>
  <c r="M226"/>
  <c r="B226"/>
  <c r="F225"/>
  <c r="D225"/>
  <c r="C225"/>
  <c r="E225"/>
  <c r="G74" i="12"/>
  <c r="H74"/>
  <c r="T74"/>
  <c r="Q75" s="1"/>
  <c r="O75"/>
  <c r="R224" i="13" l="1"/>
  <c r="O225"/>
  <c r="S225" s="1"/>
  <c r="T224"/>
  <c r="Q225" s="1"/>
  <c r="F226"/>
  <c r="H226"/>
  <c r="G226"/>
  <c r="I226"/>
  <c r="M227"/>
  <c r="B227"/>
  <c r="E226"/>
  <c r="D226"/>
  <c r="C226"/>
  <c r="I74" i="12"/>
  <c r="R75"/>
  <c r="F75" s="1"/>
  <c r="S75"/>
  <c r="R225" i="13" l="1"/>
  <c r="O226"/>
  <c r="S226" s="1"/>
  <c r="T225"/>
  <c r="Q226" s="1"/>
  <c r="E227"/>
  <c r="G227"/>
  <c r="H227"/>
  <c r="I227"/>
  <c r="M228"/>
  <c r="B228"/>
  <c r="C227"/>
  <c r="F227"/>
  <c r="D227"/>
  <c r="G75" i="12"/>
  <c r="H75"/>
  <c r="O76"/>
  <c r="T75"/>
  <c r="Q76" s="1"/>
  <c r="O227" i="13" l="1"/>
  <c r="S227" s="1"/>
  <c r="T226"/>
  <c r="Q227" s="1"/>
  <c r="R226"/>
  <c r="I228"/>
  <c r="H228"/>
  <c r="G228"/>
  <c r="M229"/>
  <c r="B229"/>
  <c r="F228"/>
  <c r="D228"/>
  <c r="C228"/>
  <c r="E228"/>
  <c r="I75" i="12"/>
  <c r="R76"/>
  <c r="F76" s="1"/>
  <c r="S76"/>
  <c r="O228" i="13" l="1"/>
  <c r="S228" s="1"/>
  <c r="T227"/>
  <c r="Q228" s="1"/>
  <c r="R227"/>
  <c r="I229"/>
  <c r="H229"/>
  <c r="G229"/>
  <c r="M230"/>
  <c r="B230"/>
  <c r="F229"/>
  <c r="E229"/>
  <c r="D229"/>
  <c r="C229"/>
  <c r="G76" i="12"/>
  <c r="H76"/>
  <c r="T76"/>
  <c r="Q77" s="1"/>
  <c r="O77"/>
  <c r="O229" i="13" l="1"/>
  <c r="S229" s="1"/>
  <c r="T228"/>
  <c r="Q229" s="1"/>
  <c r="R228"/>
  <c r="F230"/>
  <c r="H230"/>
  <c r="G230"/>
  <c r="I230"/>
  <c r="M231"/>
  <c r="B231"/>
  <c r="E230"/>
  <c r="D230"/>
  <c r="C230"/>
  <c r="I76" i="12"/>
  <c r="R77"/>
  <c r="F77" s="1"/>
  <c r="S77"/>
  <c r="O230" i="13" l="1"/>
  <c r="S230" s="1"/>
  <c r="O231" s="1"/>
  <c r="T229"/>
  <c r="Q230" s="1"/>
  <c r="R229"/>
  <c r="F231"/>
  <c r="H231"/>
  <c r="G231"/>
  <c r="I231"/>
  <c r="M232"/>
  <c r="B232"/>
  <c r="E231"/>
  <c r="D231"/>
  <c r="C231"/>
  <c r="G77" i="12"/>
  <c r="H77"/>
  <c r="T77"/>
  <c r="Q78" s="1"/>
  <c r="O78"/>
  <c r="R230" i="13" l="1"/>
  <c r="T230"/>
  <c r="Q231" s="1"/>
  <c r="R231" s="1"/>
  <c r="S231"/>
  <c r="I232"/>
  <c r="G232"/>
  <c r="H232"/>
  <c r="M233"/>
  <c r="B233"/>
  <c r="F232"/>
  <c r="E232"/>
  <c r="D232"/>
  <c r="C232"/>
  <c r="I77" i="12"/>
  <c r="R78"/>
  <c r="F78" s="1"/>
  <c r="S78"/>
  <c r="O232" i="13" l="1"/>
  <c r="S232" s="1"/>
  <c r="T231"/>
  <c r="Q232" s="1"/>
  <c r="I233"/>
  <c r="H233"/>
  <c r="G233"/>
  <c r="M234"/>
  <c r="B234"/>
  <c r="F233"/>
  <c r="E233"/>
  <c r="D233"/>
  <c r="C233"/>
  <c r="G78" i="12"/>
  <c r="H78"/>
  <c r="T78"/>
  <c r="Q79" s="1"/>
  <c r="O79"/>
  <c r="R232" i="13" l="1"/>
  <c r="O233"/>
  <c r="S233" s="1"/>
  <c r="T232"/>
  <c r="Q233" s="1"/>
  <c r="D234"/>
  <c r="H234"/>
  <c r="G234"/>
  <c r="I234"/>
  <c r="M235"/>
  <c r="B235"/>
  <c r="F234"/>
  <c r="E234"/>
  <c r="C234"/>
  <c r="I78" i="12"/>
  <c r="R79"/>
  <c r="F79" s="1"/>
  <c r="S79"/>
  <c r="R233" i="13" l="1"/>
  <c r="O234"/>
  <c r="S234" s="1"/>
  <c r="T233"/>
  <c r="Q234" s="1"/>
  <c r="I235"/>
  <c r="H235"/>
  <c r="G235"/>
  <c r="M236"/>
  <c r="B236"/>
  <c r="F235"/>
  <c r="E235"/>
  <c r="D235"/>
  <c r="C235"/>
  <c r="G79" i="12"/>
  <c r="H79"/>
  <c r="T79"/>
  <c r="Q80" s="1"/>
  <c r="O80"/>
  <c r="R234" i="13" l="1"/>
  <c r="O235"/>
  <c r="S235" s="1"/>
  <c r="T234"/>
  <c r="Q235" s="1"/>
  <c r="F236"/>
  <c r="H236"/>
  <c r="G236"/>
  <c r="I236"/>
  <c r="M237"/>
  <c r="B237"/>
  <c r="E236"/>
  <c r="D236"/>
  <c r="C236"/>
  <c r="I79" i="12"/>
  <c r="R80"/>
  <c r="F80" s="1"/>
  <c r="S80"/>
  <c r="O236" i="13" l="1"/>
  <c r="S236" s="1"/>
  <c r="T235"/>
  <c r="Q236" s="1"/>
  <c r="R235"/>
  <c r="F237"/>
  <c r="H237"/>
  <c r="G237"/>
  <c r="I237"/>
  <c r="M238"/>
  <c r="B238"/>
  <c r="E237"/>
  <c r="D237"/>
  <c r="C237"/>
  <c r="G80" i="12"/>
  <c r="H80"/>
  <c r="T80"/>
  <c r="Q81" s="1"/>
  <c r="O81"/>
  <c r="R236" i="13" l="1"/>
  <c r="O237"/>
  <c r="S237" s="1"/>
  <c r="T236"/>
  <c r="Q237" s="1"/>
  <c r="I238"/>
  <c r="H238"/>
  <c r="G238"/>
  <c r="M239"/>
  <c r="B239"/>
  <c r="E238"/>
  <c r="D238"/>
  <c r="C238"/>
  <c r="F238"/>
  <c r="I80" i="12"/>
  <c r="R81"/>
  <c r="F81" s="1"/>
  <c r="S81"/>
  <c r="O238" i="13" l="1"/>
  <c r="S238" s="1"/>
  <c r="O239" s="1"/>
  <c r="T237"/>
  <c r="Q238" s="1"/>
  <c r="R237"/>
  <c r="I239"/>
  <c r="G239"/>
  <c r="H239"/>
  <c r="M240"/>
  <c r="B240"/>
  <c r="F239"/>
  <c r="D239"/>
  <c r="C239"/>
  <c r="E239"/>
  <c r="G81" i="12"/>
  <c r="H81"/>
  <c r="T81"/>
  <c r="Q82" s="1"/>
  <c r="O82"/>
  <c r="R238" i="13" l="1"/>
  <c r="T238" s="1"/>
  <c r="Q239" s="1"/>
  <c r="R239" s="1"/>
  <c r="S239"/>
  <c r="F240"/>
  <c r="H240"/>
  <c r="G240"/>
  <c r="I240"/>
  <c r="M241"/>
  <c r="B241"/>
  <c r="E240"/>
  <c r="C240"/>
  <c r="D240"/>
  <c r="I81" i="12"/>
  <c r="R82"/>
  <c r="F82" s="1"/>
  <c r="S82"/>
  <c r="O240" i="13" l="1"/>
  <c r="S240" s="1"/>
  <c r="T239"/>
  <c r="Q240" s="1"/>
  <c r="F241"/>
  <c r="H241"/>
  <c r="G241"/>
  <c r="I241"/>
  <c r="M242"/>
  <c r="B242"/>
  <c r="E241"/>
  <c r="D241"/>
  <c r="C241"/>
  <c r="G82" i="12"/>
  <c r="H82"/>
  <c r="O83"/>
  <c r="T82"/>
  <c r="Q83" s="1"/>
  <c r="R240" i="13" l="1"/>
  <c r="O241"/>
  <c r="S241" s="1"/>
  <c r="T240"/>
  <c r="Q241" s="1"/>
  <c r="I242"/>
  <c r="G242"/>
  <c r="H242"/>
  <c r="M243"/>
  <c r="B243"/>
  <c r="F242"/>
  <c r="E242"/>
  <c r="D242"/>
  <c r="C242"/>
  <c r="I82" i="12"/>
  <c r="R83"/>
  <c r="F83" s="1"/>
  <c r="S83"/>
  <c r="O242" i="13" l="1"/>
  <c r="S242" s="1"/>
  <c r="T241"/>
  <c r="Q242" s="1"/>
  <c r="R241"/>
  <c r="I243"/>
  <c r="H243"/>
  <c r="G243"/>
  <c r="M244"/>
  <c r="B244"/>
  <c r="F243"/>
  <c r="E243"/>
  <c r="D243"/>
  <c r="C243"/>
  <c r="G83" i="12"/>
  <c r="H83"/>
  <c r="T83"/>
  <c r="Q84" s="1"/>
  <c r="O84"/>
  <c r="E163"/>
  <c r="C163"/>
  <c r="D163"/>
  <c r="R242" i="13" l="1"/>
  <c r="O243"/>
  <c r="R243" s="1"/>
  <c r="T242"/>
  <c r="Q243" s="1"/>
  <c r="F244"/>
  <c r="H244"/>
  <c r="G244"/>
  <c r="I244"/>
  <c r="M245"/>
  <c r="B245"/>
  <c r="E244"/>
  <c r="D244"/>
  <c r="C244"/>
  <c r="G10" i="12"/>
  <c r="G13" s="1"/>
  <c r="I83"/>
  <c r="R84"/>
  <c r="F84" s="1"/>
  <c r="S84"/>
  <c r="S243" i="13" l="1"/>
  <c r="F245"/>
  <c r="G245"/>
  <c r="H245"/>
  <c r="I245"/>
  <c r="M246"/>
  <c r="B246"/>
  <c r="E245"/>
  <c r="D245"/>
  <c r="C245"/>
  <c r="G84" i="12"/>
  <c r="H84"/>
  <c r="T84"/>
  <c r="Q85" s="1"/>
  <c r="O85"/>
  <c r="O244" i="13" l="1"/>
  <c r="T243"/>
  <c r="Q244" s="1"/>
  <c r="I246"/>
  <c r="H246"/>
  <c r="G246"/>
  <c r="M247"/>
  <c r="B247"/>
  <c r="F246"/>
  <c r="E246"/>
  <c r="C246"/>
  <c r="D246"/>
  <c r="I84" i="12"/>
  <c r="R85"/>
  <c r="F85" s="1"/>
  <c r="S85"/>
  <c r="R244" i="13" l="1"/>
  <c r="S244"/>
  <c r="F247"/>
  <c r="H247"/>
  <c r="G247"/>
  <c r="M248"/>
  <c r="B248"/>
  <c r="E247"/>
  <c r="D247"/>
  <c r="C247"/>
  <c r="I247"/>
  <c r="G85" i="12"/>
  <c r="H85"/>
  <c r="T85"/>
  <c r="Q86" s="1"/>
  <c r="O86"/>
  <c r="O245" i="13" l="1"/>
  <c r="T244"/>
  <c r="Q245" s="1"/>
  <c r="F248"/>
  <c r="H248"/>
  <c r="G248"/>
  <c r="I248"/>
  <c r="M249"/>
  <c r="B249"/>
  <c r="E248"/>
  <c r="D248"/>
  <c r="C248"/>
  <c r="I85" i="12"/>
  <c r="R86"/>
  <c r="F86" s="1"/>
  <c r="S86"/>
  <c r="S245" i="13" l="1"/>
  <c r="R245"/>
  <c r="I249"/>
  <c r="G249"/>
  <c r="H249"/>
  <c r="M250"/>
  <c r="B250"/>
  <c r="F249"/>
  <c r="E249"/>
  <c r="D249"/>
  <c r="C249"/>
  <c r="G86" i="12"/>
  <c r="H86"/>
  <c r="T86"/>
  <c r="Q87" s="1"/>
  <c r="O87"/>
  <c r="O246" i="13" l="1"/>
  <c r="T245"/>
  <c r="Q246" s="1"/>
  <c r="F250"/>
  <c r="H250"/>
  <c r="G250"/>
  <c r="M251"/>
  <c r="B251"/>
  <c r="D250"/>
  <c r="I250"/>
  <c r="E250"/>
  <c r="C250"/>
  <c r="I86" i="12"/>
  <c r="R87"/>
  <c r="F87" s="1"/>
  <c r="S87"/>
  <c r="S246" i="13" l="1"/>
  <c r="R246"/>
  <c r="F251"/>
  <c r="H251"/>
  <c r="G251"/>
  <c r="I251"/>
  <c r="M252"/>
  <c r="B252"/>
  <c r="E251"/>
  <c r="D251"/>
  <c r="C251"/>
  <c r="G87" i="12"/>
  <c r="H87"/>
  <c r="O88"/>
  <c r="T87"/>
  <c r="Q88" s="1"/>
  <c r="O247" i="13" l="1"/>
  <c r="T246"/>
  <c r="Q247" s="1"/>
  <c r="I252"/>
  <c r="H252"/>
  <c r="G252"/>
  <c r="M253"/>
  <c r="B253"/>
  <c r="F252"/>
  <c r="E252"/>
  <c r="D252"/>
  <c r="C252"/>
  <c r="I87" i="12"/>
  <c r="R88"/>
  <c r="F88" s="1"/>
  <c r="S88"/>
  <c r="R247" i="13" l="1"/>
  <c r="S247"/>
  <c r="I253"/>
  <c r="H253"/>
  <c r="G253"/>
  <c r="M254"/>
  <c r="B254"/>
  <c r="F253"/>
  <c r="E253"/>
  <c r="D253"/>
  <c r="C253"/>
  <c r="G88" i="12"/>
  <c r="H88"/>
  <c r="T88"/>
  <c r="Q89" s="1"/>
  <c r="O89"/>
  <c r="O248" i="13" l="1"/>
  <c r="T247"/>
  <c r="Q248" s="1"/>
  <c r="F254"/>
  <c r="H254"/>
  <c r="G254"/>
  <c r="I254"/>
  <c r="M255"/>
  <c r="B255"/>
  <c r="E254"/>
  <c r="D254"/>
  <c r="C254"/>
  <c r="I88" i="12"/>
  <c r="R89"/>
  <c r="F89" s="1"/>
  <c r="S89"/>
  <c r="S248" i="13" l="1"/>
  <c r="R248"/>
  <c r="F255"/>
  <c r="G255"/>
  <c r="H255"/>
  <c r="I255"/>
  <c r="M256"/>
  <c r="B256"/>
  <c r="E255"/>
  <c r="D255"/>
  <c r="C255"/>
  <c r="G89" i="12"/>
  <c r="H89"/>
  <c r="T89"/>
  <c r="Q90" s="1"/>
  <c r="O90"/>
  <c r="O249" i="13" l="1"/>
  <c r="T248"/>
  <c r="Q249" s="1"/>
  <c r="I256"/>
  <c r="H256"/>
  <c r="G256"/>
  <c r="M257"/>
  <c r="B257"/>
  <c r="F256"/>
  <c r="E256"/>
  <c r="D256"/>
  <c r="C256"/>
  <c r="I89" i="12"/>
  <c r="R90"/>
  <c r="F90" s="1"/>
  <c r="S90"/>
  <c r="R249" i="13" l="1"/>
  <c r="S249"/>
  <c r="C257"/>
  <c r="G257"/>
  <c r="H257"/>
  <c r="M258"/>
  <c r="B258"/>
  <c r="I257"/>
  <c r="F257"/>
  <c r="E257"/>
  <c r="D257"/>
  <c r="G90" i="12"/>
  <c r="H90"/>
  <c r="T90"/>
  <c r="Q91" s="1"/>
  <c r="O91"/>
  <c r="O250" i="13" l="1"/>
  <c r="T249"/>
  <c r="Q250" s="1"/>
  <c r="F258"/>
  <c r="H258"/>
  <c r="G258"/>
  <c r="I258"/>
  <c r="M259"/>
  <c r="B259"/>
  <c r="E258"/>
  <c r="D258"/>
  <c r="C258"/>
  <c r="I90" i="12"/>
  <c r="R91"/>
  <c r="F91" s="1"/>
  <c r="S91"/>
  <c r="S250" i="13" l="1"/>
  <c r="R250"/>
  <c r="F259"/>
  <c r="H259"/>
  <c r="G259"/>
  <c r="I259"/>
  <c r="M260"/>
  <c r="B260"/>
  <c r="E259"/>
  <c r="D259"/>
  <c r="C259"/>
  <c r="G91" i="12"/>
  <c r="H91"/>
  <c r="T91"/>
  <c r="Q92" s="1"/>
  <c r="O92"/>
  <c r="T250" i="13" l="1"/>
  <c r="Q251" s="1"/>
  <c r="O251"/>
  <c r="I260"/>
  <c r="H260"/>
  <c r="G260"/>
  <c r="M261"/>
  <c r="B261"/>
  <c r="F260"/>
  <c r="E260"/>
  <c r="D260"/>
  <c r="C260"/>
  <c r="I91" i="12"/>
  <c r="R92"/>
  <c r="F92" s="1"/>
  <c r="S92"/>
  <c r="S251" i="13" l="1"/>
  <c r="R251"/>
  <c r="E261"/>
  <c r="H261"/>
  <c r="G261"/>
  <c r="M262"/>
  <c r="B262"/>
  <c r="C261"/>
  <c r="I261"/>
  <c r="F261"/>
  <c r="D261"/>
  <c r="G92" i="12"/>
  <c r="H92"/>
  <c r="O93"/>
  <c r="T92"/>
  <c r="Q93" s="1"/>
  <c r="T251" i="13" l="1"/>
  <c r="Q252" s="1"/>
  <c r="O252"/>
  <c r="F262"/>
  <c r="G262"/>
  <c r="H262"/>
  <c r="I262"/>
  <c r="M263"/>
  <c r="B263"/>
  <c r="E262"/>
  <c r="C262"/>
  <c r="D262"/>
  <c r="I92" i="12"/>
  <c r="R93"/>
  <c r="F93" s="1"/>
  <c r="S93"/>
  <c r="S252" i="13" l="1"/>
  <c r="R252"/>
  <c r="F263"/>
  <c r="H263"/>
  <c r="G263"/>
  <c r="I263"/>
  <c r="M264"/>
  <c r="B264"/>
  <c r="E263"/>
  <c r="D263"/>
  <c r="C263"/>
  <c r="G93" i="12"/>
  <c r="H93"/>
  <c r="T93"/>
  <c r="Q94" s="1"/>
  <c r="O94"/>
  <c r="T252" i="13" l="1"/>
  <c r="Q253" s="1"/>
  <c r="O253"/>
  <c r="I264"/>
  <c r="H264"/>
  <c r="G264"/>
  <c r="M265"/>
  <c r="B265"/>
  <c r="E264"/>
  <c r="D264"/>
  <c r="C264"/>
  <c r="F264"/>
  <c r="I93" i="12"/>
  <c r="R94"/>
  <c r="F94" s="1"/>
  <c r="S94"/>
  <c r="S253" i="13" l="1"/>
  <c r="R253"/>
  <c r="I265"/>
  <c r="G265"/>
  <c r="H265"/>
  <c r="M266"/>
  <c r="B266"/>
  <c r="F265"/>
  <c r="D265"/>
  <c r="E265"/>
  <c r="C265"/>
  <c r="G94" i="12"/>
  <c r="H94"/>
  <c r="O95"/>
  <c r="T94"/>
  <c r="Q95" s="1"/>
  <c r="O254" i="13" l="1"/>
  <c r="T253"/>
  <c r="Q254" s="1"/>
  <c r="D266"/>
  <c r="H266"/>
  <c r="G266"/>
  <c r="I266"/>
  <c r="M267"/>
  <c r="B267"/>
  <c r="F266"/>
  <c r="E266"/>
  <c r="C266"/>
  <c r="I94" i="12"/>
  <c r="R95"/>
  <c r="F95" s="1"/>
  <c r="H95" s="1"/>
  <c r="S95"/>
  <c r="S254" i="13" l="1"/>
  <c r="R254"/>
  <c r="I267"/>
  <c r="H267"/>
  <c r="G267"/>
  <c r="M268"/>
  <c r="B268"/>
  <c r="F267"/>
  <c r="E267"/>
  <c r="D267"/>
  <c r="C267"/>
  <c r="G95" i="12"/>
  <c r="I95" s="1"/>
  <c r="T95"/>
  <c r="Q96" s="1"/>
  <c r="O96"/>
  <c r="O255" i="13" l="1"/>
  <c r="T254"/>
  <c r="Q255" s="1"/>
  <c r="F268"/>
  <c r="H268"/>
  <c r="G268"/>
  <c r="I268"/>
  <c r="M269"/>
  <c r="B269"/>
  <c r="C268"/>
  <c r="E268"/>
  <c r="D268"/>
  <c r="R96" i="12"/>
  <c r="F96" s="1"/>
  <c r="S96"/>
  <c r="S255" i="13" l="1"/>
  <c r="R255"/>
  <c r="F269"/>
  <c r="G269"/>
  <c r="H269"/>
  <c r="I269"/>
  <c r="M270"/>
  <c r="B270"/>
  <c r="E269"/>
  <c r="D269"/>
  <c r="C269"/>
  <c r="G96" i="12"/>
  <c r="H96"/>
  <c r="T96"/>
  <c r="Q97" s="1"/>
  <c r="O97"/>
  <c r="O256" i="13" l="1"/>
  <c r="T255"/>
  <c r="Q256" s="1"/>
  <c r="I270"/>
  <c r="H270"/>
  <c r="G270"/>
  <c r="M271"/>
  <c r="B271"/>
  <c r="F270"/>
  <c r="E270"/>
  <c r="D270"/>
  <c r="C270"/>
  <c r="I96" i="12"/>
  <c r="R97"/>
  <c r="F97" s="1"/>
  <c r="S97"/>
  <c r="S256" i="13" l="1"/>
  <c r="R256"/>
  <c r="I271"/>
  <c r="H271"/>
  <c r="G271"/>
  <c r="M272"/>
  <c r="B272"/>
  <c r="F271"/>
  <c r="E271"/>
  <c r="D271"/>
  <c r="C271"/>
  <c r="G97" i="12"/>
  <c r="H97"/>
  <c r="T97"/>
  <c r="Q98" s="1"/>
  <c r="O98"/>
  <c r="T256" i="13" l="1"/>
  <c r="Q257" s="1"/>
  <c r="O257"/>
  <c r="F272"/>
  <c r="H272"/>
  <c r="G272"/>
  <c r="I272"/>
  <c r="M273"/>
  <c r="B273"/>
  <c r="E272"/>
  <c r="D272"/>
  <c r="C272"/>
  <c r="I97" i="12"/>
  <c r="R98"/>
  <c r="F98" s="1"/>
  <c r="S98"/>
  <c r="S257" i="13" l="1"/>
  <c r="R257"/>
  <c r="F273"/>
  <c r="H273"/>
  <c r="G273"/>
  <c r="I273"/>
  <c r="M274"/>
  <c r="B274"/>
  <c r="E273"/>
  <c r="D273"/>
  <c r="C273"/>
  <c r="G98" i="12"/>
  <c r="H98"/>
  <c r="T98"/>
  <c r="Q99" s="1"/>
  <c r="O99"/>
  <c r="T257" i="13" l="1"/>
  <c r="Q258" s="1"/>
  <c r="O258"/>
  <c r="I274"/>
  <c r="H274"/>
  <c r="G274"/>
  <c r="M275"/>
  <c r="B275"/>
  <c r="F274"/>
  <c r="E274"/>
  <c r="D274"/>
  <c r="C274"/>
  <c r="I98" i="12"/>
  <c r="R99"/>
  <c r="F99" s="1"/>
  <c r="S99"/>
  <c r="S258" i="13" l="1"/>
  <c r="R258"/>
  <c r="I275"/>
  <c r="H275"/>
  <c r="G275"/>
  <c r="M276"/>
  <c r="B276"/>
  <c r="F275"/>
  <c r="E275"/>
  <c r="D275"/>
  <c r="C275"/>
  <c r="G99" i="12"/>
  <c r="H99"/>
  <c r="O100"/>
  <c r="T99"/>
  <c r="Q100" s="1"/>
  <c r="T258" i="13" l="1"/>
  <c r="Q259" s="1"/>
  <c r="O259"/>
  <c r="F276"/>
  <c r="H276"/>
  <c r="G276"/>
  <c r="I276"/>
  <c r="M277"/>
  <c r="B277"/>
  <c r="E276"/>
  <c r="D276"/>
  <c r="C276"/>
  <c r="I99" i="12"/>
  <c r="R100"/>
  <c r="F100" s="1"/>
  <c r="S100"/>
  <c r="S259" i="13" l="1"/>
  <c r="R259"/>
  <c r="F277"/>
  <c r="H277"/>
  <c r="G277"/>
  <c r="I277"/>
  <c r="M278"/>
  <c r="B278"/>
  <c r="E277"/>
  <c r="D277"/>
  <c r="C277"/>
  <c r="G100" i="12"/>
  <c r="H100"/>
  <c r="T100"/>
  <c r="Q101" s="1"/>
  <c r="O101"/>
  <c r="T259" i="13" l="1"/>
  <c r="Q260" s="1"/>
  <c r="O260"/>
  <c r="I278"/>
  <c r="H278"/>
  <c r="G278"/>
  <c r="M279"/>
  <c r="B279"/>
  <c r="F278"/>
  <c r="E278"/>
  <c r="D278"/>
  <c r="C278"/>
  <c r="I100" i="12"/>
  <c r="R101"/>
  <c r="F101" s="1"/>
  <c r="S101"/>
  <c r="S260" i="13" l="1"/>
  <c r="R260"/>
  <c r="I279"/>
  <c r="G279"/>
  <c r="H279"/>
  <c r="M280"/>
  <c r="B280"/>
  <c r="F279"/>
  <c r="E279"/>
  <c r="D279"/>
  <c r="C279"/>
  <c r="G101" i="12"/>
  <c r="H101"/>
  <c r="T101"/>
  <c r="Q102" s="1"/>
  <c r="O102"/>
  <c r="T260" i="13" l="1"/>
  <c r="Q261" s="1"/>
  <c r="O261"/>
  <c r="F280"/>
  <c r="H280"/>
  <c r="G280"/>
  <c r="I280"/>
  <c r="M281"/>
  <c r="B281"/>
  <c r="E280"/>
  <c r="D280"/>
  <c r="C280"/>
  <c r="I101" i="12"/>
  <c r="R102"/>
  <c r="F102" s="1"/>
  <c r="S102"/>
  <c r="S261" i="13" l="1"/>
  <c r="R261"/>
  <c r="F281"/>
  <c r="H281"/>
  <c r="G281"/>
  <c r="I281"/>
  <c r="M282"/>
  <c r="B282"/>
  <c r="E281"/>
  <c r="D281"/>
  <c r="C281"/>
  <c r="G102" i="12"/>
  <c r="H102"/>
  <c r="O103"/>
  <c r="T102"/>
  <c r="Q103" s="1"/>
  <c r="O262" i="13" l="1"/>
  <c r="T261"/>
  <c r="Q262" s="1"/>
  <c r="I282"/>
  <c r="H282"/>
  <c r="G282"/>
  <c r="M283"/>
  <c r="B283"/>
  <c r="F282"/>
  <c r="E282"/>
  <c r="D282"/>
  <c r="C282"/>
  <c r="I102" i="12"/>
  <c r="R103"/>
  <c r="F103" s="1"/>
  <c r="S103"/>
  <c r="R262" i="13" l="1"/>
  <c r="S262"/>
  <c r="I283"/>
  <c r="H283"/>
  <c r="G283"/>
  <c r="M284"/>
  <c r="B284"/>
  <c r="D283"/>
  <c r="F283"/>
  <c r="E283"/>
  <c r="C283"/>
  <c r="G103" i="12"/>
  <c r="H103"/>
  <c r="T103"/>
  <c r="Q104" s="1"/>
  <c r="O104"/>
  <c r="O263" i="13" l="1"/>
  <c r="T262"/>
  <c r="Q263" s="1"/>
  <c r="F284"/>
  <c r="H284"/>
  <c r="G284"/>
  <c r="I284"/>
  <c r="M285"/>
  <c r="B285"/>
  <c r="E284"/>
  <c r="D284"/>
  <c r="C284"/>
  <c r="I103" i="12"/>
  <c r="R104"/>
  <c r="F104" s="1"/>
  <c r="S104"/>
  <c r="S263" i="13" l="1"/>
  <c r="R263"/>
  <c r="F285"/>
  <c r="G285"/>
  <c r="H285"/>
  <c r="I285"/>
  <c r="M286"/>
  <c r="B286"/>
  <c r="E285"/>
  <c r="D285"/>
  <c r="C285"/>
  <c r="G104" i="12"/>
  <c r="H104"/>
  <c r="T104"/>
  <c r="Q105" s="1"/>
  <c r="O105"/>
  <c r="O264" i="13" l="1"/>
  <c r="T263"/>
  <c r="Q264" s="1"/>
  <c r="I286"/>
  <c r="H286"/>
  <c r="G286"/>
  <c r="M287"/>
  <c r="B287"/>
  <c r="F286"/>
  <c r="E286"/>
  <c r="D286"/>
  <c r="C286"/>
  <c r="I104" i="12"/>
  <c r="R105"/>
  <c r="F105" s="1"/>
  <c r="S105"/>
  <c r="R264" i="13" l="1"/>
  <c r="S264"/>
  <c r="I287"/>
  <c r="G287"/>
  <c r="H287"/>
  <c r="M288"/>
  <c r="B288"/>
  <c r="F287"/>
  <c r="E287"/>
  <c r="D287"/>
  <c r="C287"/>
  <c r="G105" i="12"/>
  <c r="H105"/>
  <c r="T105"/>
  <c r="Q106" s="1"/>
  <c r="O106"/>
  <c r="T264" i="13" l="1"/>
  <c r="Q265" s="1"/>
  <c r="O265"/>
  <c r="F288"/>
  <c r="H288"/>
  <c r="G288"/>
  <c r="I288"/>
  <c r="M289"/>
  <c r="B289"/>
  <c r="E288"/>
  <c r="D288"/>
  <c r="C288"/>
  <c r="I105" i="12"/>
  <c r="R106"/>
  <c r="F106" s="1"/>
  <c r="S106"/>
  <c r="S265" i="13" l="1"/>
  <c r="R265"/>
  <c r="F289"/>
  <c r="G289"/>
  <c r="H289"/>
  <c r="I289"/>
  <c r="M290"/>
  <c r="B290"/>
  <c r="E289"/>
  <c r="D289"/>
  <c r="C289"/>
  <c r="G106" i="12"/>
  <c r="H106"/>
  <c r="T106"/>
  <c r="Q107" s="1"/>
  <c r="O107"/>
  <c r="O266" i="13" l="1"/>
  <c r="T265"/>
  <c r="Q266" s="1"/>
  <c r="I290"/>
  <c r="H290"/>
  <c r="G290"/>
  <c r="M291"/>
  <c r="B291"/>
  <c r="F290"/>
  <c r="E290"/>
  <c r="C290"/>
  <c r="D290"/>
  <c r="I106" i="12"/>
  <c r="R107"/>
  <c r="F107" s="1"/>
  <c r="S107"/>
  <c r="S266" i="13" l="1"/>
  <c r="R266"/>
  <c r="F291"/>
  <c r="H291"/>
  <c r="G291"/>
  <c r="M292"/>
  <c r="B292"/>
  <c r="E291"/>
  <c r="C291"/>
  <c r="I291"/>
  <c r="D291"/>
  <c r="G107" i="12"/>
  <c r="H107"/>
  <c r="T107"/>
  <c r="Q108" s="1"/>
  <c r="O108"/>
  <c r="T266" i="13" l="1"/>
  <c r="Q267" s="1"/>
  <c r="O267"/>
  <c r="F292"/>
  <c r="G292"/>
  <c r="H292"/>
  <c r="I292"/>
  <c r="M293"/>
  <c r="B293"/>
  <c r="E292"/>
  <c r="D292"/>
  <c r="C292"/>
  <c r="I107" i="12"/>
  <c r="R108"/>
  <c r="F108" s="1"/>
  <c r="S108"/>
  <c r="R267" i="13" l="1"/>
  <c r="S267"/>
  <c r="I293"/>
  <c r="H293"/>
  <c r="G293"/>
  <c r="M294"/>
  <c r="B294"/>
  <c r="F293"/>
  <c r="E293"/>
  <c r="D293"/>
  <c r="C293"/>
  <c r="G108" i="12"/>
  <c r="H108"/>
  <c r="T108"/>
  <c r="Q109" s="1"/>
  <c r="O109"/>
  <c r="O268" i="13" l="1"/>
  <c r="T267"/>
  <c r="Q268" s="1"/>
  <c r="I294"/>
  <c r="H294"/>
  <c r="G294"/>
  <c r="M295"/>
  <c r="B295"/>
  <c r="F294"/>
  <c r="E294"/>
  <c r="C294"/>
  <c r="D294"/>
  <c r="I108" i="12"/>
  <c r="R109"/>
  <c r="F109" s="1"/>
  <c r="H109" s="1"/>
  <c r="S109"/>
  <c r="S268" i="13" l="1"/>
  <c r="R268"/>
  <c r="F295"/>
  <c r="H295"/>
  <c r="G295"/>
  <c r="I295"/>
  <c r="M296"/>
  <c r="B296"/>
  <c r="E295"/>
  <c r="D295"/>
  <c r="C295"/>
  <c r="G109" i="12"/>
  <c r="I109" s="1"/>
  <c r="T109"/>
  <c r="Q110" s="1"/>
  <c r="O110"/>
  <c r="T268" i="13" l="1"/>
  <c r="Q269" s="1"/>
  <c r="O269"/>
  <c r="D296"/>
  <c r="H296"/>
  <c r="G296"/>
  <c r="I296"/>
  <c r="M297"/>
  <c r="B297"/>
  <c r="F296"/>
  <c r="E296"/>
  <c r="C296"/>
  <c r="R110" i="12"/>
  <c r="F110" s="1"/>
  <c r="H110" s="1"/>
  <c r="S110"/>
  <c r="S269" i="13" l="1"/>
  <c r="R269"/>
  <c r="F297"/>
  <c r="G297"/>
  <c r="H297"/>
  <c r="M298"/>
  <c r="B298"/>
  <c r="E297"/>
  <c r="C297"/>
  <c r="I297"/>
  <c r="D297"/>
  <c r="G110" i="12"/>
  <c r="I110" s="1"/>
  <c r="T110"/>
  <c r="Q111" s="1"/>
  <c r="O111"/>
  <c r="T269" i="13" l="1"/>
  <c r="Q270" s="1"/>
  <c r="O270"/>
  <c r="F298"/>
  <c r="H298"/>
  <c r="G298"/>
  <c r="I298"/>
  <c r="M299"/>
  <c r="B299"/>
  <c r="E298"/>
  <c r="D298"/>
  <c r="C298"/>
  <c r="R111" i="12"/>
  <c r="F111" s="1"/>
  <c r="S111"/>
  <c r="R270" i="13" l="1"/>
  <c r="S270"/>
  <c r="I299"/>
  <c r="H299"/>
  <c r="G299"/>
  <c r="M300"/>
  <c r="B300"/>
  <c r="F299"/>
  <c r="E299"/>
  <c r="D299"/>
  <c r="C299"/>
  <c r="G111" i="12"/>
  <c r="H111"/>
  <c r="O112"/>
  <c r="T111"/>
  <c r="Q112" s="1"/>
  <c r="T270" i="13" l="1"/>
  <c r="Q271" s="1"/>
  <c r="O271"/>
  <c r="E300"/>
  <c r="H300"/>
  <c r="G300"/>
  <c r="M301"/>
  <c r="B301"/>
  <c r="C300"/>
  <c r="I300"/>
  <c r="F300"/>
  <c r="D300"/>
  <c r="I111" i="12"/>
  <c r="R112"/>
  <c r="F112" s="1"/>
  <c r="S112"/>
  <c r="S271" i="13" l="1"/>
  <c r="R271"/>
  <c r="F301"/>
  <c r="H301"/>
  <c r="G301"/>
  <c r="I301"/>
  <c r="M302"/>
  <c r="B302"/>
  <c r="E301"/>
  <c r="D301"/>
  <c r="C301"/>
  <c r="G112" i="12"/>
  <c r="H112"/>
  <c r="T112"/>
  <c r="Q113" s="1"/>
  <c r="O113"/>
  <c r="T271" i="13" l="1"/>
  <c r="Q272" s="1"/>
  <c r="O272"/>
  <c r="F302"/>
  <c r="H302"/>
  <c r="G302"/>
  <c r="I302"/>
  <c r="M303"/>
  <c r="B303"/>
  <c r="E302"/>
  <c r="D302"/>
  <c r="C302"/>
  <c r="I112" i="12"/>
  <c r="R113"/>
  <c r="F113" s="1"/>
  <c r="S113"/>
  <c r="R272" i="13" l="1"/>
  <c r="S272"/>
  <c r="I303"/>
  <c r="H303"/>
  <c r="G303"/>
  <c r="M304"/>
  <c r="B304"/>
  <c r="F303"/>
  <c r="E303"/>
  <c r="C303"/>
  <c r="D303"/>
  <c r="G113" i="12"/>
  <c r="H113"/>
  <c r="T113"/>
  <c r="Q114" s="1"/>
  <c r="O114"/>
  <c r="T272" i="13" l="1"/>
  <c r="Q273" s="1"/>
  <c r="O273"/>
  <c r="E304"/>
  <c r="H304"/>
  <c r="G304"/>
  <c r="M305"/>
  <c r="B305"/>
  <c r="C304"/>
  <c r="I304"/>
  <c r="F304"/>
  <c r="D304"/>
  <c r="I113" i="12"/>
  <c r="R114"/>
  <c r="F114" s="1"/>
  <c r="S114"/>
  <c r="S273" i="13" l="1"/>
  <c r="R273"/>
  <c r="F305"/>
  <c r="H305"/>
  <c r="G305"/>
  <c r="I305"/>
  <c r="M306"/>
  <c r="B306"/>
  <c r="D305"/>
  <c r="E305"/>
  <c r="C305"/>
  <c r="G114" i="12"/>
  <c r="H114"/>
  <c r="T114"/>
  <c r="Q115" s="1"/>
  <c r="O115"/>
  <c r="T273" i="13" l="1"/>
  <c r="Q274" s="1"/>
  <c r="O274"/>
  <c r="F306"/>
  <c r="H306"/>
  <c r="G306"/>
  <c r="I306"/>
  <c r="M307"/>
  <c r="B307"/>
  <c r="E306"/>
  <c r="D306"/>
  <c r="C306"/>
  <c r="I114" i="12"/>
  <c r="R115"/>
  <c r="F115" s="1"/>
  <c r="S115"/>
  <c r="R274" i="13" l="1"/>
  <c r="S274"/>
  <c r="I307"/>
  <c r="H307"/>
  <c r="G307"/>
  <c r="M308"/>
  <c r="B308"/>
  <c r="F307"/>
  <c r="E307"/>
  <c r="D307"/>
  <c r="C307"/>
  <c r="G115" i="12"/>
  <c r="H115"/>
  <c r="T115"/>
  <c r="Q116" s="1"/>
  <c r="O116"/>
  <c r="O275" i="13" l="1"/>
  <c r="T274"/>
  <c r="Q275" s="1"/>
  <c r="I308"/>
  <c r="H308"/>
  <c r="G308"/>
  <c r="M309"/>
  <c r="B309"/>
  <c r="F308"/>
  <c r="D308"/>
  <c r="E308"/>
  <c r="C308"/>
  <c r="I115" i="12"/>
  <c r="R116"/>
  <c r="F116" s="1"/>
  <c r="S116"/>
  <c r="S275" i="13" l="1"/>
  <c r="R275"/>
  <c r="F309"/>
  <c r="G309"/>
  <c r="H309"/>
  <c r="I309"/>
  <c r="M310"/>
  <c r="B310"/>
  <c r="E309"/>
  <c r="D309"/>
  <c r="C309"/>
  <c r="G116" i="12"/>
  <c r="H116"/>
  <c r="O117"/>
  <c r="T116"/>
  <c r="Q117" s="1"/>
  <c r="O276" i="13" l="1"/>
  <c r="T275"/>
  <c r="Q276" s="1"/>
  <c r="F310"/>
  <c r="H310"/>
  <c r="G310"/>
  <c r="I310"/>
  <c r="M311"/>
  <c r="B311"/>
  <c r="E310"/>
  <c r="D310"/>
  <c r="C310"/>
  <c r="I116" i="12"/>
  <c r="R117"/>
  <c r="F117" s="1"/>
  <c r="S117"/>
  <c r="R276" i="13" l="1"/>
  <c r="S276"/>
  <c r="I311"/>
  <c r="H311"/>
  <c r="G311"/>
  <c r="M312"/>
  <c r="B312"/>
  <c r="E311"/>
  <c r="C311"/>
  <c r="F311"/>
  <c r="D311"/>
  <c r="G117" i="12"/>
  <c r="H117"/>
  <c r="T117"/>
  <c r="Q118" s="1"/>
  <c r="O118"/>
  <c r="T276" i="13" l="1"/>
  <c r="Q277" s="1"/>
  <c r="O277"/>
  <c r="D312"/>
  <c r="H312"/>
  <c r="G312"/>
  <c r="M313"/>
  <c r="B313"/>
  <c r="I312"/>
  <c r="F312"/>
  <c r="E312"/>
  <c r="C312"/>
  <c r="I117" i="12"/>
  <c r="R118"/>
  <c r="F118" s="1"/>
  <c r="S118"/>
  <c r="S277" i="13" l="1"/>
  <c r="R277"/>
  <c r="F313"/>
  <c r="H313"/>
  <c r="G313"/>
  <c r="I313"/>
  <c r="M314"/>
  <c r="B314"/>
  <c r="E313"/>
  <c r="D313"/>
  <c r="C313"/>
  <c r="G118" i="12"/>
  <c r="H118"/>
  <c r="O119"/>
  <c r="T118"/>
  <c r="Q119" s="1"/>
  <c r="T277" i="13" l="1"/>
  <c r="Q278" s="1"/>
  <c r="O278"/>
  <c r="F314"/>
  <c r="H314"/>
  <c r="G314"/>
  <c r="I314"/>
  <c r="M315"/>
  <c r="B315"/>
  <c r="E314"/>
  <c r="D314"/>
  <c r="C314"/>
  <c r="I118" i="12"/>
  <c r="R119"/>
  <c r="F119" s="1"/>
  <c r="S119"/>
  <c r="R278" i="13" l="1"/>
  <c r="S278"/>
  <c r="I315"/>
  <c r="H315"/>
  <c r="G315"/>
  <c r="M316"/>
  <c r="B316"/>
  <c r="E315"/>
  <c r="D315"/>
  <c r="F315"/>
  <c r="C315"/>
  <c r="G119" i="12"/>
  <c r="H119"/>
  <c r="T119"/>
  <c r="Q120" s="1"/>
  <c r="O120"/>
  <c r="T278" i="13" l="1"/>
  <c r="Q279" s="1"/>
  <c r="O279"/>
  <c r="I316"/>
  <c r="H316"/>
  <c r="G316"/>
  <c r="M317"/>
  <c r="B317"/>
  <c r="F316"/>
  <c r="E316"/>
  <c r="D316"/>
  <c r="C316"/>
  <c r="I119" i="12"/>
  <c r="R120"/>
  <c r="F120" s="1"/>
  <c r="S120"/>
  <c r="S279" i="13" l="1"/>
  <c r="R279"/>
  <c r="F317"/>
  <c r="G317"/>
  <c r="H317"/>
  <c r="I317"/>
  <c r="M318"/>
  <c r="B318"/>
  <c r="E317"/>
  <c r="D317"/>
  <c r="C317"/>
  <c r="G120" i="12"/>
  <c r="H120"/>
  <c r="T120"/>
  <c r="Q121" s="1"/>
  <c r="O121"/>
  <c r="O280" i="13" l="1"/>
  <c r="T279"/>
  <c r="Q280" s="1"/>
  <c r="F318"/>
  <c r="H318"/>
  <c r="G318"/>
  <c r="I318"/>
  <c r="E318"/>
  <c r="D318"/>
  <c r="C318"/>
  <c r="I120" i="12"/>
  <c r="R121"/>
  <c r="F121" s="1"/>
  <c r="S121"/>
  <c r="S280" i="13" l="1"/>
  <c r="R280"/>
  <c r="G121" i="12"/>
  <c r="H121"/>
  <c r="T121"/>
  <c r="Q122" s="1"/>
  <c r="O122"/>
  <c r="O281" i="13" l="1"/>
  <c r="T280"/>
  <c r="Q281" s="1"/>
  <c r="I121" i="12"/>
  <c r="R122"/>
  <c r="F122" s="1"/>
  <c r="S122"/>
  <c r="R281" i="13" l="1"/>
  <c r="S281"/>
  <c r="G122" i="12"/>
  <c r="H122"/>
  <c r="T122"/>
  <c r="Q123" s="1"/>
  <c r="O123"/>
  <c r="T281" i="13" l="1"/>
  <c r="Q282" s="1"/>
  <c r="O282"/>
  <c r="I122" i="12"/>
  <c r="R123"/>
  <c r="F123" s="1"/>
  <c r="S123"/>
  <c r="S282" i="13" l="1"/>
  <c r="R282"/>
  <c r="G123" i="12"/>
  <c r="H123"/>
  <c r="O124"/>
  <c r="T123"/>
  <c r="Q124" s="1"/>
  <c r="O283" i="13" l="1"/>
  <c r="T282"/>
  <c r="Q283" s="1"/>
  <c r="I123" i="12"/>
  <c r="R124"/>
  <c r="F124" s="1"/>
  <c r="S124"/>
  <c r="S283" i="13" l="1"/>
  <c r="R283"/>
  <c r="G124" i="12"/>
  <c r="H124"/>
  <c r="T124"/>
  <c r="Q125" s="1"/>
  <c r="O125"/>
  <c r="O284" i="13" l="1"/>
  <c r="T283"/>
  <c r="Q284" s="1"/>
  <c r="I124" i="12"/>
  <c r="R125"/>
  <c r="F125" s="1"/>
  <c r="S125"/>
  <c r="S284" i="13" l="1"/>
  <c r="R284"/>
  <c r="G125" i="12"/>
  <c r="H125"/>
  <c r="T125"/>
  <c r="Q126" s="1"/>
  <c r="O126"/>
  <c r="O285" i="13" l="1"/>
  <c r="T284"/>
  <c r="Q285" s="1"/>
  <c r="I125" i="12"/>
  <c r="R126"/>
  <c r="F126" s="1"/>
  <c r="S126"/>
  <c r="S285" i="13" l="1"/>
  <c r="R285"/>
  <c r="G126" i="12"/>
  <c r="H126"/>
  <c r="O127"/>
  <c r="T126"/>
  <c r="Q127" s="1"/>
  <c r="T285" i="13" l="1"/>
  <c r="Q286" s="1"/>
  <c r="O286"/>
  <c r="I126" i="12"/>
  <c r="R127"/>
  <c r="F127" s="1"/>
  <c r="S127"/>
  <c r="S286" i="13" l="1"/>
  <c r="R286"/>
  <c r="G127" i="12"/>
  <c r="H127"/>
  <c r="T127"/>
  <c r="Q128" s="1"/>
  <c r="O128"/>
  <c r="T286" i="13" l="1"/>
  <c r="Q287" s="1"/>
  <c r="O287"/>
  <c r="I127" i="12"/>
  <c r="R128"/>
  <c r="F128" s="1"/>
  <c r="S128"/>
  <c r="S287" i="13" l="1"/>
  <c r="R287"/>
  <c r="G128" i="12"/>
  <c r="H128"/>
  <c r="O129"/>
  <c r="T128"/>
  <c r="Q129" s="1"/>
  <c r="T287" i="13" l="1"/>
  <c r="Q288" s="1"/>
  <c r="O288"/>
  <c r="I128" i="12"/>
  <c r="R129"/>
  <c r="F129" s="1"/>
  <c r="S129"/>
  <c r="S288" i="13" l="1"/>
  <c r="R288"/>
  <c r="G129" i="12"/>
  <c r="H129"/>
  <c r="T129"/>
  <c r="Q130" s="1"/>
  <c r="O130"/>
  <c r="T288" i="13" l="1"/>
  <c r="Q289" s="1"/>
  <c r="O289"/>
  <c r="I129" i="12"/>
  <c r="R130"/>
  <c r="F130" s="1"/>
  <c r="S130"/>
  <c r="S289" i="13" l="1"/>
  <c r="R289"/>
  <c r="G130" i="12"/>
  <c r="H130"/>
  <c r="O131"/>
  <c r="T130"/>
  <c r="Q131" s="1"/>
  <c r="T289" i="13" l="1"/>
  <c r="Q290" s="1"/>
  <c r="O290"/>
  <c r="I130" i="12"/>
  <c r="R131"/>
  <c r="F131" s="1"/>
  <c r="S131"/>
  <c r="S290" i="13" l="1"/>
  <c r="R290"/>
  <c r="G131" i="12"/>
  <c r="H131"/>
  <c r="O132"/>
  <c r="T131"/>
  <c r="Q132" s="1"/>
  <c r="O291" i="13" l="1"/>
  <c r="T290"/>
  <c r="Q291" s="1"/>
  <c r="I131" i="12"/>
  <c r="R132"/>
  <c r="F132" s="1"/>
  <c r="S132"/>
  <c r="S291" i="13" l="1"/>
  <c r="R291"/>
  <c r="G132" i="12"/>
  <c r="H132"/>
  <c r="T132"/>
  <c r="Q133" s="1"/>
  <c r="O133"/>
  <c r="T291" i="13" l="1"/>
  <c r="Q292" s="1"/>
  <c r="O292"/>
  <c r="I132" i="12"/>
  <c r="R133"/>
  <c r="F133" s="1"/>
  <c r="S133"/>
  <c r="S292" i="13" l="1"/>
  <c r="R292"/>
  <c r="G133" i="12"/>
  <c r="H133"/>
  <c r="T133"/>
  <c r="Q134" s="1"/>
  <c r="O134"/>
  <c r="T292" i="13" l="1"/>
  <c r="Q293" s="1"/>
  <c r="O293"/>
  <c r="I133" i="12"/>
  <c r="R134"/>
  <c r="F134" s="1"/>
  <c r="S134"/>
  <c r="S293" i="13" l="1"/>
  <c r="R293"/>
  <c r="G134" i="12"/>
  <c r="H134"/>
  <c r="T134"/>
  <c r="Q135" s="1"/>
  <c r="O135"/>
  <c r="O294" i="13" l="1"/>
  <c r="T293"/>
  <c r="Q294" s="1"/>
  <c r="I134" i="12"/>
  <c r="R135"/>
  <c r="F135" s="1"/>
  <c r="S135"/>
  <c r="S294" i="13" l="1"/>
  <c r="R294"/>
  <c r="G135" i="12"/>
  <c r="H135"/>
  <c r="O136"/>
  <c r="T135"/>
  <c r="Q136" s="1"/>
  <c r="O295" i="13" l="1"/>
  <c r="T294"/>
  <c r="Q295" s="1"/>
  <c r="I135" i="12"/>
  <c r="R136"/>
  <c r="F136" s="1"/>
  <c r="S136"/>
  <c r="S295" i="13" l="1"/>
  <c r="R295"/>
  <c r="G136" i="12"/>
  <c r="H136"/>
  <c r="T136"/>
  <c r="Q137" s="1"/>
  <c r="O137"/>
  <c r="T295" i="13" l="1"/>
  <c r="Q296" s="1"/>
  <c r="O296"/>
  <c r="I136" i="12"/>
  <c r="R137"/>
  <c r="F137" s="1"/>
  <c r="S137"/>
  <c r="S296" i="13" l="1"/>
  <c r="R296"/>
  <c r="G137" i="12"/>
  <c r="H137"/>
  <c r="T137"/>
  <c r="Q138" s="1"/>
  <c r="O138"/>
  <c r="O297" i="13" l="1"/>
  <c r="T296"/>
  <c r="Q297" s="1"/>
  <c r="I137" i="12"/>
  <c r="R138"/>
  <c r="F138" s="1"/>
  <c r="S138"/>
  <c r="S297" i="13" l="1"/>
  <c r="R297"/>
  <c r="G138" i="12"/>
  <c r="H138"/>
  <c r="O139"/>
  <c r="T138"/>
  <c r="Q139" s="1"/>
  <c r="O298" i="13" l="1"/>
  <c r="T297"/>
  <c r="Q298" s="1"/>
  <c r="I138" i="12"/>
  <c r="R139"/>
  <c r="F139" s="1"/>
  <c r="S139"/>
  <c r="R298" i="13" l="1"/>
  <c r="S298"/>
  <c r="G139" i="12"/>
  <c r="H139"/>
  <c r="T139"/>
  <c r="Q140" s="1"/>
  <c r="O140"/>
  <c r="T298" i="13" l="1"/>
  <c r="Q299" s="1"/>
  <c r="O299"/>
  <c r="I139" i="12"/>
  <c r="R140"/>
  <c r="F140" s="1"/>
  <c r="S140"/>
  <c r="S299" i="13" l="1"/>
  <c r="R299"/>
  <c r="G140" i="12"/>
  <c r="H140"/>
  <c r="O141"/>
  <c r="T140"/>
  <c r="Q141" s="1"/>
  <c r="T299" i="13" l="1"/>
  <c r="Q300" s="1"/>
  <c r="O300"/>
  <c r="I140" i="12"/>
  <c r="R141"/>
  <c r="F141" s="1"/>
  <c r="S141"/>
  <c r="S300" i="13" l="1"/>
  <c r="R300"/>
  <c r="G141" i="12"/>
  <c r="H141"/>
  <c r="T141"/>
  <c r="Q142" s="1"/>
  <c r="O142"/>
  <c r="T300" i="13" l="1"/>
  <c r="Q301" s="1"/>
  <c r="O301"/>
  <c r="I141" i="12"/>
  <c r="R142"/>
  <c r="F142" s="1"/>
  <c r="S142"/>
  <c r="S301" i="13" l="1"/>
  <c r="R301"/>
  <c r="G142" i="12"/>
  <c r="H142"/>
  <c r="O143"/>
  <c r="T142"/>
  <c r="Q143" s="1"/>
  <c r="T301" i="13" l="1"/>
  <c r="Q302" s="1"/>
  <c r="O302"/>
  <c r="I142" i="12"/>
  <c r="R143"/>
  <c r="F143" s="1"/>
  <c r="S143"/>
  <c r="R302" i="13" l="1"/>
  <c r="S302"/>
  <c r="G143" i="12"/>
  <c r="H143"/>
  <c r="O144"/>
  <c r="T143"/>
  <c r="Q144" s="1"/>
  <c r="O303" i="13" l="1"/>
  <c r="T302"/>
  <c r="Q303" s="1"/>
  <c r="I143" i="12"/>
  <c r="R144"/>
  <c r="F144" s="1"/>
  <c r="S144"/>
  <c r="R303" i="13" l="1"/>
  <c r="S303"/>
  <c r="G144" i="12"/>
  <c r="H144"/>
  <c r="T144"/>
  <c r="Q145" s="1"/>
  <c r="O145"/>
  <c r="T303" i="13" l="1"/>
  <c r="Q304" s="1"/>
  <c r="O304"/>
  <c r="I144" i="12"/>
  <c r="R145"/>
  <c r="F145" s="1"/>
  <c r="S145"/>
  <c r="S304" i="13" l="1"/>
  <c r="R304"/>
  <c r="G145" i="12"/>
  <c r="H145"/>
  <c r="T145"/>
  <c r="Q146" s="1"/>
  <c r="O146"/>
  <c r="O305" i="13" l="1"/>
  <c r="T304"/>
  <c r="Q305" s="1"/>
  <c r="I145" i="12"/>
  <c r="R146"/>
  <c r="F146" s="1"/>
  <c r="S146"/>
  <c r="R305" i="13" l="1"/>
  <c r="S305"/>
  <c r="G146" i="12"/>
  <c r="H146"/>
  <c r="T146"/>
  <c r="Q147" s="1"/>
  <c r="O147"/>
  <c r="O306" i="13" l="1"/>
  <c r="T305"/>
  <c r="Q306" s="1"/>
  <c r="I146" i="12"/>
  <c r="R147"/>
  <c r="F147" s="1"/>
  <c r="S147"/>
  <c r="S306" i="13" l="1"/>
  <c r="R306"/>
  <c r="G147" i="12"/>
  <c r="H147"/>
  <c r="O148"/>
  <c r="T147"/>
  <c r="Q148" s="1"/>
  <c r="O307" i="13" l="1"/>
  <c r="T306"/>
  <c r="Q307" s="1"/>
  <c r="I147" i="12"/>
  <c r="R148"/>
  <c r="F148" s="1"/>
  <c r="S148"/>
  <c r="S307" i="13" l="1"/>
  <c r="R307"/>
  <c r="G148" i="12"/>
  <c r="H148"/>
  <c r="T148"/>
  <c r="Q149" s="1"/>
  <c r="O149"/>
  <c r="O308" i="13" l="1"/>
  <c r="T307"/>
  <c r="Q308" s="1"/>
  <c r="I148" i="12"/>
  <c r="R149"/>
  <c r="F149" s="1"/>
  <c r="S149"/>
  <c r="S308" i="13" l="1"/>
  <c r="R308"/>
  <c r="G149" i="12"/>
  <c r="H149"/>
  <c r="T149"/>
  <c r="Q150" s="1"/>
  <c r="O150"/>
  <c r="T308" i="13" l="1"/>
  <c r="Q309" s="1"/>
  <c r="O309"/>
  <c r="I149" i="12"/>
  <c r="R150"/>
  <c r="F150" s="1"/>
  <c r="S150"/>
  <c r="S309" i="13" l="1"/>
  <c r="R309"/>
  <c r="G150" i="12"/>
  <c r="H150"/>
  <c r="T150"/>
  <c r="Q151" s="1"/>
  <c r="O151"/>
  <c r="T309" i="13" l="1"/>
  <c r="Q310" s="1"/>
  <c r="O310"/>
  <c r="I150" i="12"/>
  <c r="R151"/>
  <c r="F151" s="1"/>
  <c r="H151" s="1"/>
  <c r="S151"/>
  <c r="R310" i="13" l="1"/>
  <c r="S310"/>
  <c r="G151" i="12"/>
  <c r="I151" s="1"/>
  <c r="T151"/>
  <c r="Q152" s="1"/>
  <c r="O152"/>
  <c r="T310" i="13" l="1"/>
  <c r="Q311" s="1"/>
  <c r="O311"/>
  <c r="R152" i="12"/>
  <c r="F152" s="1"/>
  <c r="S152"/>
  <c r="S311" i="13" l="1"/>
  <c r="R311"/>
  <c r="G152" i="12"/>
  <c r="H152"/>
  <c r="T152"/>
  <c r="Q153" s="1"/>
  <c r="O153"/>
  <c r="T311" i="13" l="1"/>
  <c r="Q312" s="1"/>
  <c r="O312"/>
  <c r="I152" i="12"/>
  <c r="R153"/>
  <c r="F153" s="1"/>
  <c r="S153"/>
  <c r="S312" i="13" l="1"/>
  <c r="R312"/>
  <c r="G153" i="12"/>
  <c r="H153"/>
  <c r="T153"/>
  <c r="Q154" s="1"/>
  <c r="O154"/>
  <c r="O313" i="13" l="1"/>
  <c r="T312"/>
  <c r="Q313" s="1"/>
  <c r="I153" i="12"/>
  <c r="R154"/>
  <c r="F154" s="1"/>
  <c r="S154"/>
  <c r="S313" i="13" l="1"/>
  <c r="R313"/>
  <c r="G154" i="12"/>
  <c r="H154"/>
  <c r="T154"/>
  <c r="Q155" s="1"/>
  <c r="O155"/>
  <c r="T313" i="13" l="1"/>
  <c r="Q314" s="1"/>
  <c r="O314"/>
  <c r="I154" i="12"/>
  <c r="R155"/>
  <c r="F155" s="1"/>
  <c r="S155"/>
  <c r="S314" i="13" l="1"/>
  <c r="R314"/>
  <c r="G155" i="12"/>
  <c r="H155"/>
  <c r="T155"/>
  <c r="Q156" s="1"/>
  <c r="O156"/>
  <c r="T314" i="13" l="1"/>
  <c r="Q315" s="1"/>
  <c r="O315"/>
  <c r="I155" i="12"/>
  <c r="R156"/>
  <c r="F156" s="1"/>
  <c r="S156"/>
  <c r="S315" i="13" l="1"/>
  <c r="R315"/>
  <c r="G156" i="12"/>
  <c r="H156"/>
  <c r="T156"/>
  <c r="Q157" s="1"/>
  <c r="O157"/>
  <c r="O316" i="13" l="1"/>
  <c r="T315"/>
  <c r="Q316" s="1"/>
  <c r="I156" i="12"/>
  <c r="R157"/>
  <c r="F157" s="1"/>
  <c r="H157" s="1"/>
  <c r="S157"/>
  <c r="S316" i="13" l="1"/>
  <c r="R316"/>
  <c r="G157" i="12"/>
  <c r="I157" s="1"/>
  <c r="T157"/>
  <c r="Q158" s="1"/>
  <c r="O158"/>
  <c r="T316" i="13" l="1"/>
  <c r="Q317" s="1"/>
  <c r="O317"/>
  <c r="R158" i="12"/>
  <c r="F158" s="1"/>
  <c r="H158" s="1"/>
  <c r="S158"/>
  <c r="S317" i="13" l="1"/>
  <c r="R317"/>
  <c r="G158" i="12"/>
  <c r="I158" s="1"/>
  <c r="T158"/>
  <c r="Q159" s="1"/>
  <c r="O159"/>
  <c r="O318" i="13" l="1"/>
  <c r="T317"/>
  <c r="Q318" s="1"/>
  <c r="R159" i="12"/>
  <c r="F159" s="1"/>
  <c r="S159"/>
  <c r="R318" i="13" l="1"/>
  <c r="S318"/>
  <c r="T318" s="1"/>
  <c r="G159" i="12"/>
  <c r="H159"/>
  <c r="O160"/>
  <c r="T159"/>
  <c r="Q160" s="1"/>
  <c r="I159" l="1"/>
  <c r="R160"/>
  <c r="F160" s="1"/>
  <c r="H160" s="1"/>
  <c r="S160"/>
  <c r="G160" l="1"/>
  <c r="I160" s="1"/>
  <c r="O161"/>
  <c r="T160"/>
  <c r="Q161" s="1"/>
  <c r="R161" l="1"/>
  <c r="F161" s="1"/>
  <c r="S161"/>
  <c r="T161" l="1"/>
  <c r="G163"/>
  <c r="H163"/>
  <c r="I161" l="1"/>
  <c r="I163" s="1"/>
  <c r="G12" s="1"/>
  <c r="G14" s="1"/>
  <c r="G15" s="1"/>
</calcChain>
</file>

<file path=xl/sharedStrings.xml><?xml version="1.0" encoding="utf-8"?>
<sst xmlns="http://schemas.openxmlformats.org/spreadsheetml/2006/main" count="450" uniqueCount="246">
  <si>
    <t>매수내역</t>
    <phoneticPr fontId="3" type="noConversion"/>
  </si>
  <si>
    <t>투자수익률</t>
    <phoneticPr fontId="3" type="noConversion"/>
  </si>
  <si>
    <t>세후수익률</t>
    <phoneticPr fontId="3" type="noConversion"/>
  </si>
  <si>
    <t>은행환산수익률</t>
    <phoneticPr fontId="3" type="noConversion"/>
  </si>
  <si>
    <t>채권권면액</t>
    <phoneticPr fontId="3" type="noConversion"/>
  </si>
  <si>
    <t>투자일수</t>
    <phoneticPr fontId="3" type="noConversion"/>
  </si>
  <si>
    <t>만기시 세전금액</t>
    <phoneticPr fontId="3" type="noConversion"/>
  </si>
  <si>
    <t>매수금리(YTM)</t>
    <phoneticPr fontId="3" type="noConversion"/>
  </si>
  <si>
    <t>결제일</t>
    <phoneticPr fontId="3" type="noConversion"/>
  </si>
  <si>
    <t>경과이자</t>
    <phoneticPr fontId="3" type="noConversion"/>
  </si>
  <si>
    <t>만기시 세후금액</t>
    <phoneticPr fontId="3" type="noConversion"/>
  </si>
  <si>
    <t>경과일</t>
    <phoneticPr fontId="3" type="noConversion"/>
  </si>
  <si>
    <t>세전수익률</t>
    <phoneticPr fontId="3" type="noConversion"/>
  </si>
  <si>
    <t>시작일자</t>
    <phoneticPr fontId="3" type="noConversion"/>
  </si>
  <si>
    <t>이자</t>
    <phoneticPr fontId="3" type="noConversion"/>
  </si>
  <si>
    <t>소득세</t>
    <phoneticPr fontId="3" type="noConversion"/>
  </si>
  <si>
    <t>주민세</t>
    <phoneticPr fontId="3" type="noConversion"/>
  </si>
  <si>
    <t>세후수령액</t>
    <phoneticPr fontId="3" type="noConversion"/>
  </si>
  <si>
    <t>발행일</t>
  </si>
  <si>
    <t>만기일</t>
  </si>
  <si>
    <t>표면이율</t>
  </si>
  <si>
    <t>해외신용등급</t>
  </si>
  <si>
    <t>신탁계약일</t>
    <phoneticPr fontId="3" type="noConversion"/>
  </si>
  <si>
    <t>신탁만기일</t>
    <phoneticPr fontId="2" type="noConversion"/>
  </si>
  <si>
    <t>편입자산정보</t>
    <phoneticPr fontId="3" type="noConversion"/>
  </si>
  <si>
    <t>최근 이표일</t>
    <phoneticPr fontId="2" type="noConversion"/>
  </si>
  <si>
    <t>미국 30/360</t>
    <phoneticPr fontId="2" type="noConversion"/>
  </si>
  <si>
    <t>ACT/ACT</t>
    <phoneticPr fontId="2" type="noConversion"/>
  </si>
  <si>
    <t>ACT/360</t>
    <phoneticPr fontId="2" type="noConversion"/>
  </si>
  <si>
    <t>ACT/365</t>
    <phoneticPr fontId="2" type="noConversion"/>
  </si>
  <si>
    <t>유럽 30/360</t>
    <phoneticPr fontId="2" type="noConversion"/>
  </si>
  <si>
    <t>날짜계산 기준</t>
    <phoneticPr fontId="2" type="noConversion"/>
  </si>
  <si>
    <t>매수단가(clean)</t>
    <phoneticPr fontId="3" type="noConversion"/>
  </si>
  <si>
    <t>매수단가(dirty)</t>
    <phoneticPr fontId="3" type="noConversion"/>
  </si>
  <si>
    <t>이자지급 주기</t>
    <phoneticPr fontId="3" type="noConversion"/>
  </si>
  <si>
    <t>3개월</t>
    <phoneticPr fontId="2" type="noConversion"/>
  </si>
  <si>
    <t>6개월</t>
  </si>
  <si>
    <t>6개월</t>
    <phoneticPr fontId="2" type="noConversion"/>
  </si>
  <si>
    <t>12개월</t>
    <phoneticPr fontId="2" type="noConversion"/>
  </si>
  <si>
    <t>수탁통화</t>
    <phoneticPr fontId="2" type="noConversion"/>
  </si>
  <si>
    <t>신탁원금</t>
    <phoneticPr fontId="3" type="noConversion"/>
  </si>
  <si>
    <t>채권 매수금액</t>
    <phoneticPr fontId="3" type="noConversion"/>
  </si>
  <si>
    <t>선취보수율</t>
    <phoneticPr fontId="3" type="noConversion"/>
  </si>
  <si>
    <t>후취보수율</t>
    <phoneticPr fontId="3" type="noConversion"/>
  </si>
  <si>
    <t>현금잔액</t>
    <phoneticPr fontId="3" type="noConversion"/>
  </si>
  <si>
    <t>선취금액</t>
    <phoneticPr fontId="3" type="noConversion"/>
  </si>
  <si>
    <t>과세소득</t>
    <phoneticPr fontId="3" type="noConversion"/>
  </si>
  <si>
    <t>과세표준</t>
    <phoneticPr fontId="2" type="noConversion"/>
  </si>
  <si>
    <t>차감가능선취</t>
    <phoneticPr fontId="2" type="noConversion"/>
  </si>
  <si>
    <t>잔존선취</t>
    <phoneticPr fontId="2" type="noConversion"/>
  </si>
  <si>
    <t>차감가능후취</t>
    <phoneticPr fontId="2" type="noConversion"/>
  </si>
  <si>
    <t>잔존후취</t>
    <phoneticPr fontId="2" type="noConversion"/>
  </si>
  <si>
    <t>차감비용계</t>
    <phoneticPr fontId="2" type="noConversion"/>
  </si>
  <si>
    <t>기별 후취</t>
    <phoneticPr fontId="2" type="noConversion"/>
  </si>
  <si>
    <t>1기 보수</t>
    <phoneticPr fontId="24" type="noConversion"/>
  </si>
  <si>
    <t>2기 보수</t>
  </si>
  <si>
    <t>3기 보수</t>
  </si>
  <si>
    <t>4기 보수</t>
  </si>
  <si>
    <t>5기 보수</t>
  </si>
  <si>
    <t>6기 보수</t>
  </si>
  <si>
    <t>7기 보수</t>
  </si>
  <si>
    <t>8기 보수</t>
  </si>
  <si>
    <t>9기 보수</t>
  </si>
  <si>
    <t>10기 보수</t>
  </si>
  <si>
    <t>11기 보수</t>
  </si>
  <si>
    <t>12기 보수</t>
  </si>
  <si>
    <t>13기 보수</t>
  </si>
  <si>
    <t>14기 보수</t>
  </si>
  <si>
    <t>15기 보수</t>
  </si>
  <si>
    <t>16기 보수</t>
  </si>
  <si>
    <t>17기 보수</t>
  </si>
  <si>
    <t>18기 보수</t>
  </si>
  <si>
    <t>19기 보수</t>
  </si>
  <si>
    <t>20기 보수</t>
  </si>
  <si>
    <t>21기 보수</t>
  </si>
  <si>
    <t>22기 보수</t>
  </si>
  <si>
    <t>23기 보수</t>
  </si>
  <si>
    <t>24기 보수</t>
  </si>
  <si>
    <t>25기 보수</t>
  </si>
  <si>
    <t>26기 보수</t>
  </si>
  <si>
    <t>27기 보수</t>
  </si>
  <si>
    <t>28기 보수</t>
  </si>
  <si>
    <t>29기 보수</t>
  </si>
  <si>
    <t>30기 보수</t>
  </si>
  <si>
    <t>31기 보수</t>
  </si>
  <si>
    <t>32기 보수</t>
  </si>
  <si>
    <t>33기 보수</t>
  </si>
  <si>
    <t>34기 보수</t>
  </si>
  <si>
    <t>35기 보수</t>
  </si>
  <si>
    <t>36기 보수</t>
  </si>
  <si>
    <t>37기 보수</t>
  </si>
  <si>
    <t>38기 보수</t>
  </si>
  <si>
    <t>39기 보수</t>
  </si>
  <si>
    <t>40기 보수</t>
  </si>
  <si>
    <t>종목명</t>
    <phoneticPr fontId="2" type="noConversion"/>
  </si>
  <si>
    <t>마지막 후취보수</t>
    <phoneticPr fontId="2" type="noConversion"/>
  </si>
  <si>
    <t>미국 30/360</t>
  </si>
  <si>
    <t>KOROIL 0.875 10/05/25</t>
  </si>
  <si>
    <t>무디스: Aa2  / S&amp;P: AA</t>
    <phoneticPr fontId="2" type="noConversion"/>
  </si>
  <si>
    <t>원금</t>
    <phoneticPr fontId="3" type="noConversion"/>
  </si>
  <si>
    <t>합 계</t>
    <phoneticPr fontId="3" type="noConversion"/>
  </si>
  <si>
    <t>이자계산일</t>
    <phoneticPr fontId="3" type="noConversion"/>
  </si>
  <si>
    <t xml:space="preserve">  발행사 사정에 의해 원금의 전부 또는 상당부분을 손실할 수 있으며, 중도매매시 시장금리 등에 따라 원금손실이 발행할 수 있습니다</t>
    <phoneticPr fontId="2" type="noConversion"/>
  </si>
  <si>
    <t>- 본 자료는 내부직원에 대한 정보제공만을 목적으로 한 것으로서, 투자권유를 위한 광고물로 활용될 수 없고, 투자자에게 배포될 수 없습니다.</t>
    <phoneticPr fontId="15" type="noConversion"/>
  </si>
  <si>
    <t>- 상기 현금흐름은 단순계산에 의한 수익률이므로 실제 투자와 차이가 있을 수 있습니다.</t>
    <phoneticPr fontId="3" type="noConversion"/>
  </si>
  <si>
    <t xml:space="preserve">- 과세소득 등은 원화(KRW)로 산정되므로, 실제 과세소득과 세금, 세후수령액은 다를 수 있습니다. </t>
    <phoneticPr fontId="3" type="noConversion"/>
  </si>
  <si>
    <t xml:space="preserve">- 본 상품은 실적배당 상품으로 예금자보호법의 적용대상이 아닙니다. </t>
    <phoneticPr fontId="2" type="noConversion"/>
  </si>
  <si>
    <t>- 채권 시장수익률 변동에 따라 수익률이 변동될 수 있으며, 투자판단의 최종 책임은 투자자에게 있습니다.</t>
    <phoneticPr fontId="15" type="noConversion"/>
  </si>
  <si>
    <t>- 본 채권은 금융기관이 보증하는 것이 아니며, 정부가 사채의 가치를 보증 또는 승인한 것도 아니며,</t>
    <phoneticPr fontId="15" type="noConversion"/>
  </si>
  <si>
    <t xml:space="preserve">- 특정금전신탁에 편입된 증권의 만기시 해당 증권 발행인의 재무상황에 따라 원리금 상환이 지연될 수 있습니다. 이에 따라 신탁계약의 해지가 지연될 수 있습니다. </t>
    <phoneticPr fontId="2" type="noConversion"/>
  </si>
  <si>
    <t xml:space="preserve">- 본 상품에 투자하시기 전에 투자대상, 환매방법, 보수 등과 관련하여 반드시 신탁계약서 및 상품설명서 신용평가서 등의 내용을 확인하시기 바랍니다. </t>
    <phoneticPr fontId="2" type="noConversion"/>
  </si>
  <si>
    <t>- 채권 이자는 만기일에 일시 지급합니다.</t>
    <phoneticPr fontId="3" type="noConversion"/>
  </si>
  <si>
    <t>※ 본 자료는 참고용 자료로만 활용될 수 있으며, 불특정 다수에게 제공이 금지된 사내한 자료입니다.</t>
    <phoneticPr fontId="3" type="noConversion"/>
  </si>
  <si>
    <t>USD</t>
  </si>
  <si>
    <t>USD</t>
    <phoneticPr fontId="3" type="noConversion"/>
  </si>
  <si>
    <t>EUR</t>
    <phoneticPr fontId="3" type="noConversion"/>
  </si>
  <si>
    <t>CNY</t>
    <phoneticPr fontId="3" type="noConversion"/>
  </si>
  <si>
    <t>JPY</t>
    <phoneticPr fontId="3" type="noConversion"/>
  </si>
  <si>
    <t xml:space="preserve">- 본 자료는 참고용일 뿐 정확성이나 완전성을 보장할 수 없습니다. 따라서 어떠한 경우에도 고객의 투자 결과와 관련된 법적 책임 소재에 대한 증빙으로 사용될 수 없습니다.
</t>
    <phoneticPr fontId="2" type="noConversion"/>
  </si>
  <si>
    <t>날짜계산</t>
    <phoneticPr fontId="3" type="noConversion"/>
  </si>
  <si>
    <t>지급주기</t>
    <phoneticPr fontId="3" type="noConversion"/>
  </si>
  <si>
    <t>통화</t>
    <phoneticPr fontId="3" type="noConversion"/>
  </si>
  <si>
    <t>매수환율(예상)</t>
    <phoneticPr fontId="3" type="noConversion"/>
  </si>
  <si>
    <t>만기예상환율(예상)</t>
    <phoneticPr fontId="3" type="noConversion"/>
  </si>
  <si>
    <t>KRW</t>
    <phoneticPr fontId="2" type="noConversion"/>
  </si>
  <si>
    <t>거래통화</t>
    <phoneticPr fontId="2" type="noConversion"/>
  </si>
  <si>
    <t>기준환율</t>
    <phoneticPr fontId="2" type="noConversion"/>
  </si>
  <si>
    <t>소득자구분</t>
    <phoneticPr fontId="2" type="noConversion"/>
  </si>
  <si>
    <t>투자자구분</t>
  </si>
  <si>
    <t>개인</t>
  </si>
  <si>
    <t>일반법인</t>
  </si>
  <si>
    <t>금융법인</t>
  </si>
  <si>
    <t>결제금액</t>
    <phoneticPr fontId="3" type="noConversion"/>
  </si>
  <si>
    <t>매수가능금액</t>
    <phoneticPr fontId="3" type="noConversion"/>
  </si>
  <si>
    <t>경과이자(100$)</t>
    <phoneticPr fontId="3" type="noConversion"/>
  </si>
  <si>
    <t>KORELE 7.95 04/01/2096</t>
    <phoneticPr fontId="2" type="noConversion"/>
  </si>
  <si>
    <t>41기 보수</t>
  </si>
  <si>
    <t>42기 보수</t>
  </si>
  <si>
    <t>43기 보수</t>
  </si>
  <si>
    <t>44기 보수</t>
  </si>
  <si>
    <t>45기 보수</t>
  </si>
  <si>
    <t>46기 보수</t>
  </si>
  <si>
    <t>47기 보수</t>
  </si>
  <si>
    <t>48기 보수</t>
  </si>
  <si>
    <t>49기 보수</t>
  </si>
  <si>
    <t>50기 보수</t>
  </si>
  <si>
    <t>51기 보수</t>
  </si>
  <si>
    <t>52기 보수</t>
  </si>
  <si>
    <t>53기 보수</t>
  </si>
  <si>
    <t>54기 보수</t>
  </si>
  <si>
    <t>55기 보수</t>
  </si>
  <si>
    <t>56기 보수</t>
  </si>
  <si>
    <t>57기 보수</t>
  </si>
  <si>
    <t>58기 보수</t>
  </si>
  <si>
    <t>59기 보수</t>
  </si>
  <si>
    <t>60기 보수</t>
  </si>
  <si>
    <t>61기 보수</t>
  </si>
  <si>
    <t>62기 보수</t>
  </si>
  <si>
    <t>63기 보수</t>
  </si>
  <si>
    <t>64기 보수</t>
  </si>
  <si>
    <t>65기 보수</t>
  </si>
  <si>
    <t>66기 보수</t>
  </si>
  <si>
    <t>67기 보수</t>
  </si>
  <si>
    <t>68기 보수</t>
  </si>
  <si>
    <t>69기 보수</t>
  </si>
  <si>
    <t>70기 보수</t>
  </si>
  <si>
    <t>71기 보수</t>
  </si>
  <si>
    <t>72기 보수</t>
  </si>
  <si>
    <t>73기 보수</t>
  </si>
  <si>
    <t>74기 보수</t>
  </si>
  <si>
    <t>75기 보수</t>
  </si>
  <si>
    <t>76기 보수</t>
  </si>
  <si>
    <t>77기 보수</t>
  </si>
  <si>
    <t>78기 보수</t>
  </si>
  <si>
    <t>79기 보수</t>
  </si>
  <si>
    <t>80기 보수</t>
  </si>
  <si>
    <t>81기 보수</t>
  </si>
  <si>
    <t>82기 보수</t>
  </si>
  <si>
    <t>83기 보수</t>
  </si>
  <si>
    <t>84기 보수</t>
  </si>
  <si>
    <t>85기 보수</t>
  </si>
  <si>
    <t>86기 보수</t>
  </si>
  <si>
    <t>87기 보수</t>
  </si>
  <si>
    <t>88기 보수</t>
  </si>
  <si>
    <t>89기 보수</t>
  </si>
  <si>
    <t>90기 보수</t>
  </si>
  <si>
    <t>91기 보수</t>
  </si>
  <si>
    <t>92기 보수</t>
  </si>
  <si>
    <t>93기 보수</t>
  </si>
  <si>
    <t>94기 보수</t>
  </si>
  <si>
    <t>95기 보수</t>
  </si>
  <si>
    <t>96기 보수</t>
  </si>
  <si>
    <t>97기 보수</t>
  </si>
  <si>
    <t>98기 보수</t>
  </si>
  <si>
    <t>99기 보수</t>
  </si>
  <si>
    <t>100기 보수</t>
  </si>
  <si>
    <t>101기 보수</t>
  </si>
  <si>
    <t>102기 보수</t>
  </si>
  <si>
    <t>103기 보수</t>
  </si>
  <si>
    <t>104기 보수</t>
  </si>
  <si>
    <t>105기 보수</t>
  </si>
  <si>
    <t>106기 보수</t>
  </si>
  <si>
    <t>107기 보수</t>
  </si>
  <si>
    <t>108기 보수</t>
  </si>
  <si>
    <t>109기 보수</t>
  </si>
  <si>
    <t>110기 보수</t>
  </si>
  <si>
    <t>111기 보수</t>
  </si>
  <si>
    <t>112기 보수</t>
  </si>
  <si>
    <t>113기 보수</t>
  </si>
  <si>
    <t>114기 보수</t>
  </si>
  <si>
    <t>115기 보수</t>
  </si>
  <si>
    <t>116기 보수</t>
  </si>
  <si>
    <t>117기 보수</t>
  </si>
  <si>
    <t>118기 보수</t>
  </si>
  <si>
    <t>119기 보수</t>
  </si>
  <si>
    <t>120기 보수</t>
  </si>
  <si>
    <t>121기 보수</t>
  </si>
  <si>
    <t>122기 보수</t>
  </si>
  <si>
    <t>123기 보수</t>
  </si>
  <si>
    <t>124기 보수</t>
  </si>
  <si>
    <t>125기 보수</t>
  </si>
  <si>
    <t>126기 보수</t>
  </si>
  <si>
    <t>127기 보수</t>
  </si>
  <si>
    <t>128기 보수</t>
  </si>
  <si>
    <t>129기 보수</t>
  </si>
  <si>
    <t>130기 보수</t>
  </si>
  <si>
    <t>131기 보수</t>
  </si>
  <si>
    <t>132기 보수</t>
  </si>
  <si>
    <t>133기 보수</t>
  </si>
  <si>
    <t>134기 보수</t>
  </si>
  <si>
    <t>135기 보수</t>
  </si>
  <si>
    <t>136기 보수</t>
  </si>
  <si>
    <t>137기 보수</t>
  </si>
  <si>
    <t>138기 보수</t>
  </si>
  <si>
    <t>139기 보수</t>
  </si>
  <si>
    <t>140기 보수</t>
  </si>
  <si>
    <t>141기 보수</t>
  </si>
  <si>
    <t>142기 보수</t>
  </si>
  <si>
    <t>143기 보수</t>
  </si>
  <si>
    <t>과세유형</t>
  </si>
  <si>
    <t>농특세형(0%+1.4%/2.8%)</t>
  </si>
  <si>
    <t>신탁만기 리드타임(일)</t>
  </si>
  <si>
    <t>미국 30/360</t>
    <phoneticPr fontId="2" type="noConversion"/>
  </si>
  <si>
    <t>6개월</t>
    <phoneticPr fontId="2" type="noConversion"/>
  </si>
  <si>
    <t>USD</t>
    <phoneticPr fontId="2" type="noConversion"/>
  </si>
  <si>
    <t>개인</t>
    <phoneticPr fontId="2" type="noConversion"/>
  </si>
</sst>
</file>

<file path=xl/styles.xml><?xml version="1.0" encoding="utf-8"?>
<styleSheet xmlns="http://schemas.openxmlformats.org/spreadsheetml/2006/main">
  <numFmts count="15">
    <numFmt numFmtId="41" formatCode="_-* #,##0_-;\-* #,##0_-;_-* &quot;-&quot;_-;_-@_-"/>
    <numFmt numFmtId="43" formatCode="_-* #,##0.00_-;\-* #,##0.00_-;_-* &quot;-&quot;??_-;_-@_-"/>
    <numFmt numFmtId="176" formatCode="0.000%"/>
    <numFmt numFmtId="177" formatCode="#,##0_);[Red]\(#,##0\)"/>
    <numFmt numFmtId="178" formatCode="#,##0.00_ "/>
    <numFmt numFmtId="179" formatCode="#,##0.00_);[Red]\(#,##0.00\)"/>
    <numFmt numFmtId="180" formatCode="#,##0_ "/>
    <numFmt numFmtId="181" formatCode="0.0000"/>
    <numFmt numFmtId="182" formatCode="0.000"/>
    <numFmt numFmtId="183" formatCode="#,##0.000000_);[Red]\(#,##0.000000\)"/>
    <numFmt numFmtId="184" formatCode="_-* #,##0.00_-;\-* #,##0.00_-;_-* &quot;-&quot;_-;_-@_-"/>
    <numFmt numFmtId="185" formatCode="#,##0.000_);[Red]\(#,##0.000\)"/>
    <numFmt numFmtId="186" formatCode="_-* #,##0_-;\-* #,##0_-;_-* &quot;-&quot;??_-;_-@_-"/>
    <numFmt numFmtId="187" formatCode="0.0000%"/>
    <numFmt numFmtId="188" formatCode="0.00000%"/>
  </numFmts>
  <fonts count="29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  <scheme val="minor"/>
    </font>
    <font>
      <b/>
      <sz val="15"/>
      <name val="맑은 고딕"/>
      <family val="3"/>
      <charset val="129"/>
      <scheme val="minor"/>
    </font>
    <font>
      <sz val="9"/>
      <name val="돋움"/>
      <family val="3"/>
      <charset val="129"/>
    </font>
    <font>
      <b/>
      <sz val="9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b/>
      <sz val="8.5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0"/>
      <name val="돋움"/>
      <family val="3"/>
      <charset val="129"/>
    </font>
    <font>
      <sz val="8"/>
      <color theme="1"/>
      <name val="맑은 고딕"/>
      <family val="2"/>
      <charset val="129"/>
    </font>
    <font>
      <sz val="8"/>
      <name val="맑은 고딕"/>
      <family val="2"/>
      <charset val="129"/>
    </font>
    <font>
      <b/>
      <sz val="8"/>
      <color rgb="FFC00000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u/>
      <sz val="14"/>
      <name val="돋움"/>
      <family val="3"/>
      <charset val="129"/>
    </font>
    <font>
      <sz val="12"/>
      <name val="돋움"/>
      <family val="3"/>
      <charset val="129"/>
    </font>
    <font>
      <sz val="8"/>
      <name val="맑은 고딕"/>
      <family val="3"/>
      <charset val="129"/>
      <scheme val="minor"/>
    </font>
    <font>
      <b/>
      <sz val="8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color theme="1"/>
      <name val="바탕"/>
      <family val="1"/>
      <charset val="129"/>
    </font>
    <font>
      <sz val="8"/>
      <name val="Times New Roman"/>
      <family val="2"/>
      <charset val="129"/>
    </font>
    <font>
      <b/>
      <sz val="10"/>
      <color rgb="FFFF000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ajor"/>
    </font>
    <font>
      <b/>
      <u/>
      <sz val="16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>
      <alignment vertical="center"/>
    </xf>
    <xf numFmtId="0" fontId="1" fillId="0" borderId="0"/>
    <xf numFmtId="41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4" fillId="0" borderId="0">
      <alignment vertical="center"/>
    </xf>
    <xf numFmtId="41" fontId="22" fillId="0" borderId="0" applyFont="0" applyFill="0" applyBorder="0" applyAlignment="0" applyProtection="0">
      <alignment vertical="center"/>
    </xf>
  </cellStyleXfs>
  <cellXfs count="154">
    <xf numFmtId="0" fontId="0" fillId="0" borderId="0" xfId="0">
      <alignment vertical="center"/>
    </xf>
    <xf numFmtId="0" fontId="4" fillId="0" borderId="0" xfId="1" applyFont="1" applyAlignment="1">
      <alignment vertical="center"/>
    </xf>
    <xf numFmtId="0" fontId="5" fillId="0" borderId="0" xfId="1" applyFont="1" applyBorder="1" applyAlignment="1">
      <alignment horizontal="center" vertical="center"/>
    </xf>
    <xf numFmtId="0" fontId="4" fillId="0" borderId="0" xfId="1" applyFont="1" applyBorder="1" applyAlignment="1">
      <alignment vertical="center"/>
    </xf>
    <xf numFmtId="41" fontId="4" fillId="0" borderId="0" xfId="2" applyFont="1" applyBorder="1" applyAlignment="1">
      <alignment vertical="center"/>
    </xf>
    <xf numFmtId="10" fontId="4" fillId="0" borderId="0" xfId="1" applyNumberFormat="1" applyFont="1" applyBorder="1" applyAlignment="1">
      <alignment vertical="center"/>
    </xf>
    <xf numFmtId="14" fontId="9" fillId="0" borderId="6" xfId="1" applyNumberFormat="1" applyFont="1" applyFill="1" applyBorder="1" applyAlignment="1">
      <alignment horizontal="center" vertical="center"/>
    </xf>
    <xf numFmtId="179" fontId="9" fillId="0" borderId="6" xfId="1" applyNumberFormat="1" applyFont="1" applyFill="1" applyBorder="1" applyAlignment="1">
      <alignment vertical="center"/>
    </xf>
    <xf numFmtId="179" fontId="9" fillId="0" borderId="6" xfId="2" applyNumberFormat="1" applyFont="1" applyBorder="1" applyAlignment="1">
      <alignment vertical="center"/>
    </xf>
    <xf numFmtId="179" fontId="9" fillId="0" borderId="6" xfId="2" applyNumberFormat="1" applyFont="1" applyFill="1" applyBorder="1" applyAlignment="1">
      <alignment vertical="center"/>
    </xf>
    <xf numFmtId="14" fontId="9" fillId="0" borderId="0" xfId="1" applyNumberFormat="1" applyFont="1" applyFill="1" applyBorder="1" applyAlignment="1">
      <alignment horizontal="center" vertical="center"/>
    </xf>
    <xf numFmtId="179" fontId="9" fillId="0" borderId="0" xfId="1" applyNumberFormat="1" applyFont="1" applyFill="1" applyBorder="1" applyAlignment="1">
      <alignment vertical="center"/>
    </xf>
    <xf numFmtId="179" fontId="9" fillId="0" borderId="0" xfId="2" applyNumberFormat="1" applyFont="1" applyBorder="1" applyAlignment="1">
      <alignment vertical="center"/>
    </xf>
    <xf numFmtId="179" fontId="9" fillId="0" borderId="0" xfId="2" applyNumberFormat="1" applyFont="1" applyFill="1" applyBorder="1" applyAlignment="1">
      <alignment vertical="center"/>
    </xf>
    <xf numFmtId="179" fontId="7" fillId="3" borderId="2" xfId="1" applyNumberFormat="1" applyFont="1" applyFill="1" applyBorder="1" applyAlignment="1">
      <alignment horizontal="right" vertical="center"/>
    </xf>
    <xf numFmtId="0" fontId="13" fillId="0" borderId="0" xfId="1" applyFont="1" applyAlignment="1">
      <alignment vertical="center"/>
    </xf>
    <xf numFmtId="0" fontId="10" fillId="0" borderId="0" xfId="4" applyFont="1" applyBorder="1" applyAlignment="1">
      <alignment horizontal="center" vertical="center"/>
    </xf>
    <xf numFmtId="0" fontId="10" fillId="0" borderId="0" xfId="4" applyFont="1" applyAlignment="1">
      <alignment horizontal="center" vertical="center"/>
    </xf>
    <xf numFmtId="0" fontId="17" fillId="0" borderId="0" xfId="4" applyFont="1" applyBorder="1" applyAlignment="1">
      <alignment horizontal="center" vertical="center"/>
    </xf>
    <xf numFmtId="0" fontId="17" fillId="0" borderId="0" xfId="4" applyFont="1" applyAlignment="1">
      <alignment horizontal="center" vertical="center"/>
    </xf>
    <xf numFmtId="0" fontId="16" fillId="0" borderId="0" xfId="4" applyFont="1" applyBorder="1" applyAlignment="1">
      <alignment vertical="center" wrapText="1"/>
    </xf>
    <xf numFmtId="0" fontId="7" fillId="2" borderId="2" xfId="1" applyFont="1" applyFill="1" applyBorder="1" applyAlignment="1">
      <alignment horizontal="center" vertical="center"/>
    </xf>
    <xf numFmtId="10" fontId="7" fillId="0" borderId="2" xfId="3" applyNumberFormat="1" applyFont="1" applyFill="1" applyBorder="1" applyAlignment="1">
      <alignment horizontal="center" vertical="center"/>
    </xf>
    <xf numFmtId="14" fontId="4" fillId="0" borderId="0" xfId="2" applyNumberFormat="1" applyFont="1" applyBorder="1" applyAlignment="1">
      <alignment vertical="center"/>
    </xf>
    <xf numFmtId="180" fontId="9" fillId="0" borderId="0" xfId="2" applyNumberFormat="1" applyFont="1" applyBorder="1" applyAlignment="1">
      <alignment horizontal="center" vertical="center"/>
    </xf>
    <xf numFmtId="0" fontId="7" fillId="0" borderId="0" xfId="1" applyFont="1" applyFill="1" applyBorder="1" applyAlignment="1">
      <alignment horizontal="center" vertical="center"/>
    </xf>
    <xf numFmtId="179" fontId="7" fillId="0" borderId="0" xfId="2" applyNumberFormat="1" applyFont="1" applyFill="1" applyBorder="1" applyAlignment="1">
      <alignment horizontal="center" vertical="center"/>
    </xf>
    <xf numFmtId="10" fontId="7" fillId="0" borderId="0" xfId="3" applyNumberFormat="1" applyFont="1" applyFill="1" applyBorder="1" applyAlignment="1">
      <alignment horizontal="center" vertical="center"/>
    </xf>
    <xf numFmtId="0" fontId="20" fillId="0" borderId="0" xfId="4" applyFont="1" applyBorder="1" applyAlignment="1">
      <alignment horizontal="center" vertical="center"/>
    </xf>
    <xf numFmtId="0" fontId="20" fillId="0" borderId="0" xfId="4" applyFont="1" applyAlignment="1">
      <alignment horizontal="center" vertical="center"/>
    </xf>
    <xf numFmtId="181" fontId="20" fillId="0" borderId="0" xfId="4" applyNumberFormat="1" applyFont="1" applyAlignment="1">
      <alignment horizontal="center" vertical="center"/>
    </xf>
    <xf numFmtId="182" fontId="20" fillId="0" borderId="0" xfId="4" applyNumberFormat="1" applyFont="1" applyAlignment="1">
      <alignment horizontal="center" vertical="center"/>
    </xf>
    <xf numFmtId="0" fontId="21" fillId="0" borderId="0" xfId="4" applyFont="1" applyBorder="1" applyAlignment="1">
      <alignment horizontal="center" vertical="center"/>
    </xf>
    <xf numFmtId="0" fontId="21" fillId="0" borderId="0" xfId="4" applyFont="1" applyAlignment="1">
      <alignment horizontal="center" vertical="center"/>
    </xf>
    <xf numFmtId="183" fontId="7" fillId="0" borderId="2" xfId="1" applyNumberFormat="1" applyFont="1" applyFill="1" applyBorder="1" applyAlignment="1">
      <alignment horizontal="center" vertical="center"/>
    </xf>
    <xf numFmtId="0" fontId="4" fillId="0" borderId="0" xfId="1" quotePrefix="1" applyFont="1" applyAlignment="1">
      <alignment vertical="center"/>
    </xf>
    <xf numFmtId="177" fontId="12" fillId="0" borderId="2" xfId="5" applyNumberFormat="1" applyFont="1" applyFill="1" applyBorder="1" applyAlignment="1">
      <alignment horizontal="center" vertical="center"/>
    </xf>
    <xf numFmtId="41" fontId="4" fillId="0" borderId="0" xfId="2" quotePrefix="1" applyFont="1" applyBorder="1" applyAlignment="1">
      <alignment vertical="center"/>
    </xf>
    <xf numFmtId="184" fontId="4" fillId="0" borderId="0" xfId="5" applyNumberFormat="1" applyFont="1" applyAlignment="1">
      <alignment vertical="center"/>
    </xf>
    <xf numFmtId="0" fontId="11" fillId="0" borderId="0" xfId="1" applyFont="1" applyFill="1" applyBorder="1" applyAlignment="1">
      <alignment horizontal="left" vertical="center" wrapText="1"/>
    </xf>
    <xf numFmtId="43" fontId="23" fillId="0" borderId="2" xfId="0" applyNumberFormat="1" applyFont="1" applyBorder="1" applyAlignment="1">
      <alignment horizontal="center" vertical="center"/>
    </xf>
    <xf numFmtId="0" fontId="7" fillId="0" borderId="0" xfId="1" applyFont="1" applyBorder="1" applyAlignment="1">
      <alignment horizontal="right" vertical="center"/>
    </xf>
    <xf numFmtId="0" fontId="19" fillId="4" borderId="0" xfId="0" applyFont="1" applyFill="1" applyBorder="1">
      <alignment vertical="center"/>
    </xf>
    <xf numFmtId="0" fontId="7" fillId="0" borderId="0" xfId="1" applyFont="1" applyFill="1" applyBorder="1" applyAlignment="1">
      <alignment vertical="center"/>
    </xf>
    <xf numFmtId="0" fontId="19" fillId="0" borderId="0" xfId="0" applyFont="1" applyFill="1" applyBorder="1">
      <alignment vertical="center"/>
    </xf>
    <xf numFmtId="0" fontId="4" fillId="0" borderId="0" xfId="1" applyFont="1" applyFill="1" applyBorder="1" applyAlignment="1">
      <alignment vertical="center"/>
    </xf>
    <xf numFmtId="41" fontId="4" fillId="0" borderId="0" xfId="2" applyFont="1" applyFill="1" applyBorder="1" applyAlignment="1">
      <alignment vertical="center"/>
    </xf>
    <xf numFmtId="179" fontId="7" fillId="0" borderId="0" xfId="1" applyNumberFormat="1" applyFont="1" applyFill="1" applyBorder="1" applyAlignment="1">
      <alignment horizontal="right" vertical="center"/>
    </xf>
    <xf numFmtId="0" fontId="20" fillId="0" borderId="0" xfId="4" applyFont="1" applyFill="1" applyBorder="1" applyAlignment="1">
      <alignment horizontal="center" vertical="center"/>
    </xf>
    <xf numFmtId="0" fontId="21" fillId="0" borderId="0" xfId="4" applyFont="1" applyFill="1" applyBorder="1" applyAlignment="1">
      <alignment horizontal="center" vertical="center"/>
    </xf>
    <xf numFmtId="0" fontId="4" fillId="0" borderId="0" xfId="1" applyFont="1" applyFill="1" applyAlignment="1">
      <alignment vertical="center"/>
    </xf>
    <xf numFmtId="0" fontId="4" fillId="0" borderId="0" xfId="1" quotePrefix="1" applyFont="1" applyFill="1" applyBorder="1" applyAlignment="1">
      <alignment vertical="center"/>
    </xf>
    <xf numFmtId="41" fontId="4" fillId="0" borderId="0" xfId="5" quotePrefix="1" applyFont="1" applyFill="1" applyBorder="1" applyAlignment="1">
      <alignment vertical="center"/>
    </xf>
    <xf numFmtId="0" fontId="11" fillId="0" borderId="0" xfId="1" applyFont="1" applyFill="1" applyBorder="1" applyAlignment="1">
      <alignment vertical="center" wrapText="1"/>
    </xf>
    <xf numFmtId="179" fontId="4" fillId="0" borderId="0" xfId="1" applyNumberFormat="1" applyFont="1" applyAlignment="1">
      <alignment vertical="center"/>
    </xf>
    <xf numFmtId="0" fontId="8" fillId="5" borderId="0" xfId="1" applyFont="1" applyFill="1" applyBorder="1" applyAlignment="1">
      <alignment horizontal="center" vertical="center"/>
    </xf>
    <xf numFmtId="180" fontId="9" fillId="0" borderId="2" xfId="2" applyNumberFormat="1" applyFont="1" applyFill="1" applyBorder="1" applyAlignment="1">
      <alignment horizontal="center" vertical="center"/>
    </xf>
    <xf numFmtId="185" fontId="11" fillId="0" borderId="0" xfId="1" applyNumberFormat="1" applyFont="1" applyFill="1" applyBorder="1" applyAlignment="1">
      <alignment horizontal="left" vertical="center" wrapText="1"/>
    </xf>
    <xf numFmtId="0" fontId="10" fillId="0" borderId="0" xfId="4" applyFont="1" applyFill="1" applyBorder="1" applyAlignment="1">
      <alignment horizontal="center" vertical="center"/>
    </xf>
    <xf numFmtId="0" fontId="26" fillId="0" borderId="0" xfId="4" quotePrefix="1" applyFont="1" applyBorder="1" applyAlignment="1">
      <alignment horizontal="left" vertical="center"/>
    </xf>
    <xf numFmtId="0" fontId="4" fillId="0" borderId="7" xfId="1" applyFont="1" applyBorder="1" applyAlignment="1">
      <alignment vertical="center"/>
    </xf>
    <xf numFmtId="0" fontId="4" fillId="0" borderId="9" xfId="1" applyFont="1" applyBorder="1" applyAlignment="1">
      <alignment vertical="center"/>
    </xf>
    <xf numFmtId="0" fontId="4" fillId="0" borderId="10" xfId="1" applyFont="1" applyBorder="1" applyAlignment="1">
      <alignment vertical="center"/>
    </xf>
    <xf numFmtId="0" fontId="5" fillId="0" borderId="11" xfId="1" applyFont="1" applyBorder="1" applyAlignment="1">
      <alignment horizontal="center" vertical="center"/>
    </xf>
    <xf numFmtId="0" fontId="11" fillId="0" borderId="11" xfId="1" applyFont="1" applyFill="1" applyBorder="1" applyAlignment="1">
      <alignment vertical="center" wrapText="1"/>
    </xf>
    <xf numFmtId="0" fontId="11" fillId="0" borderId="11" xfId="1" applyFont="1" applyFill="1" applyBorder="1" applyAlignment="1">
      <alignment horizontal="left" vertical="center" wrapText="1"/>
    </xf>
    <xf numFmtId="0" fontId="4" fillId="0" borderId="11" xfId="1" applyFont="1" applyFill="1" applyBorder="1" applyAlignment="1">
      <alignment vertical="center"/>
    </xf>
    <xf numFmtId="0" fontId="7" fillId="3" borderId="2" xfId="1" applyFont="1" applyFill="1" applyBorder="1" applyAlignment="1">
      <alignment horizontal="center" vertical="center"/>
    </xf>
    <xf numFmtId="0" fontId="10" fillId="0" borderId="11" xfId="4" applyFont="1" applyBorder="1" applyAlignment="1">
      <alignment horizontal="center" vertical="center"/>
    </xf>
    <xf numFmtId="0" fontId="17" fillId="0" borderId="11" xfId="4" applyFont="1" applyBorder="1" applyAlignment="1">
      <alignment horizontal="center" vertical="center"/>
    </xf>
    <xf numFmtId="0" fontId="4" fillId="0" borderId="11" xfId="1" applyFont="1" applyBorder="1" applyAlignment="1">
      <alignment vertical="center"/>
    </xf>
    <xf numFmtId="0" fontId="4" fillId="0" borderId="13" xfId="1" applyFont="1" applyBorder="1" applyAlignment="1">
      <alignment vertical="center"/>
    </xf>
    <xf numFmtId="0" fontId="4" fillId="0" borderId="14" xfId="1" applyFont="1" applyBorder="1" applyAlignment="1">
      <alignment vertical="center"/>
    </xf>
    <xf numFmtId="14" fontId="9" fillId="0" borderId="0" xfId="1" applyNumberFormat="1" applyFont="1" applyBorder="1" applyAlignment="1">
      <alignment horizontal="center" vertical="center"/>
    </xf>
    <xf numFmtId="0" fontId="26" fillId="0" borderId="0" xfId="1" quotePrefix="1" applyFont="1" applyBorder="1" applyAlignment="1">
      <alignment vertical="center"/>
    </xf>
    <xf numFmtId="0" fontId="4" fillId="0" borderId="0" xfId="1" quotePrefix="1" applyFont="1" applyBorder="1" applyAlignment="1">
      <alignment vertical="center"/>
    </xf>
    <xf numFmtId="0" fontId="4" fillId="0" borderId="0" xfId="4" quotePrefix="1" applyFont="1" applyBorder="1" applyAlignment="1">
      <alignment horizontal="left" vertical="center"/>
    </xf>
    <xf numFmtId="0" fontId="4" fillId="0" borderId="0" xfId="4" applyFont="1" applyBorder="1" applyAlignment="1">
      <alignment horizontal="left" vertical="center"/>
    </xf>
    <xf numFmtId="0" fontId="4" fillId="0" borderId="0" xfId="1" applyFont="1" applyBorder="1" applyAlignment="1">
      <alignment horizontal="center" vertical="center"/>
    </xf>
    <xf numFmtId="0" fontId="7" fillId="0" borderId="10" xfId="1" applyFont="1" applyFill="1" applyBorder="1" applyAlignment="1">
      <alignment vertical="center"/>
    </xf>
    <xf numFmtId="0" fontId="18" fillId="0" borderId="0" xfId="1" applyFont="1" applyBorder="1" applyAlignment="1">
      <alignment vertical="center"/>
    </xf>
    <xf numFmtId="0" fontId="7" fillId="0" borderId="11" xfId="1" applyFont="1" applyFill="1" applyBorder="1" applyAlignment="1">
      <alignment vertical="center"/>
    </xf>
    <xf numFmtId="0" fontId="16" fillId="0" borderId="11" xfId="4" applyFont="1" applyBorder="1" applyAlignment="1">
      <alignment vertical="center" wrapText="1"/>
    </xf>
    <xf numFmtId="0" fontId="4" fillId="0" borderId="8" xfId="1" applyFont="1" applyBorder="1" applyAlignment="1">
      <alignment vertical="center"/>
    </xf>
    <xf numFmtId="0" fontId="25" fillId="0" borderId="7" xfId="1" applyFont="1" applyBorder="1" applyAlignment="1">
      <alignment vertical="center"/>
    </xf>
    <xf numFmtId="0" fontId="18" fillId="0" borderId="11" xfId="1" applyFont="1" applyBorder="1" applyAlignment="1">
      <alignment vertical="center"/>
    </xf>
    <xf numFmtId="43" fontId="4" fillId="0" borderId="11" xfId="1" applyNumberFormat="1" applyFont="1" applyFill="1" applyBorder="1" applyAlignment="1">
      <alignment vertical="center"/>
    </xf>
    <xf numFmtId="0" fontId="13" fillId="0" borderId="10" xfId="1" applyFont="1" applyBorder="1" applyAlignment="1">
      <alignment vertical="center"/>
    </xf>
    <xf numFmtId="0" fontId="10" fillId="0" borderId="10" xfId="4" applyFont="1" applyBorder="1" applyAlignment="1">
      <alignment horizontal="center" vertical="center"/>
    </xf>
    <xf numFmtId="0" fontId="17" fillId="0" borderId="10" xfId="4" applyFont="1" applyBorder="1" applyAlignment="1">
      <alignment horizontal="center" vertical="center"/>
    </xf>
    <xf numFmtId="0" fontId="4" fillId="0" borderId="5" xfId="1" applyFont="1" applyBorder="1" applyAlignment="1">
      <alignment vertical="center"/>
    </xf>
    <xf numFmtId="14" fontId="9" fillId="0" borderId="2" xfId="1" applyNumberFormat="1" applyFont="1" applyFill="1" applyBorder="1" applyAlignment="1">
      <alignment horizontal="center" vertical="center"/>
    </xf>
    <xf numFmtId="176" fontId="9" fillId="0" borderId="2" xfId="1" applyNumberFormat="1" applyFont="1" applyFill="1" applyBorder="1" applyAlignment="1">
      <alignment horizontal="center" vertical="center"/>
    </xf>
    <xf numFmtId="176" fontId="10" fillId="0" borderId="2" xfId="1" applyNumberFormat="1" applyFont="1" applyFill="1" applyBorder="1" applyAlignment="1">
      <alignment horizontal="center" vertical="center" wrapText="1"/>
    </xf>
    <xf numFmtId="0" fontId="9" fillId="0" borderId="2" xfId="1" applyNumberFormat="1" applyFont="1" applyFill="1" applyBorder="1" applyAlignment="1">
      <alignment horizontal="center" vertical="center"/>
    </xf>
    <xf numFmtId="14" fontId="7" fillId="0" borderId="12" xfId="1" applyNumberFormat="1" applyFont="1" applyFill="1" applyBorder="1" applyAlignment="1">
      <alignment horizontal="center" vertical="center"/>
    </xf>
    <xf numFmtId="186" fontId="27" fillId="7" borderId="16" xfId="0" applyNumberFormat="1" applyFont="1" applyFill="1" applyBorder="1" applyAlignment="1">
      <alignment horizontal="center" vertical="center"/>
    </xf>
    <xf numFmtId="43" fontId="27" fillId="7" borderId="15" xfId="0" applyNumberFormat="1" applyFont="1" applyFill="1" applyBorder="1" applyAlignment="1">
      <alignment horizontal="center" vertical="center"/>
    </xf>
    <xf numFmtId="179" fontId="7" fillId="0" borderId="2" xfId="2" applyNumberFormat="1" applyFont="1" applyFill="1" applyBorder="1" applyAlignment="1">
      <alignment horizontal="center" vertical="center"/>
    </xf>
    <xf numFmtId="179" fontId="9" fillId="0" borderId="2" xfId="2" applyNumberFormat="1" applyFont="1" applyFill="1" applyBorder="1" applyAlignment="1">
      <alignment horizontal="center" vertical="center"/>
    </xf>
    <xf numFmtId="184" fontId="4" fillId="0" borderId="2" xfId="5" applyNumberFormat="1" applyFont="1" applyFill="1" applyBorder="1" applyAlignment="1">
      <alignment vertical="center"/>
    </xf>
    <xf numFmtId="41" fontId="9" fillId="0" borderId="2" xfId="2" applyFont="1" applyFill="1" applyBorder="1" applyAlignment="1">
      <alignment vertical="center"/>
    </xf>
    <xf numFmtId="178" fontId="9" fillId="0" borderId="2" xfId="1" applyNumberFormat="1" applyFont="1" applyFill="1" applyBorder="1" applyAlignment="1">
      <alignment vertical="center"/>
    </xf>
    <xf numFmtId="0" fontId="9" fillId="2" borderId="2" xfId="1" applyFont="1" applyFill="1" applyBorder="1" applyAlignment="1">
      <alignment horizontal="center" vertical="center"/>
    </xf>
    <xf numFmtId="0" fontId="10" fillId="2" borderId="2" xfId="1" applyFont="1" applyFill="1" applyBorder="1" applyAlignment="1">
      <alignment horizontal="center" vertical="center"/>
    </xf>
    <xf numFmtId="0" fontId="9" fillId="2" borderId="12" xfId="1" applyFont="1" applyFill="1" applyBorder="1" applyAlignment="1">
      <alignment horizontal="center" vertical="center"/>
    </xf>
    <xf numFmtId="14" fontId="9" fillId="2" borderId="2" xfId="1" applyNumberFormat="1" applyFont="1" applyFill="1" applyBorder="1" applyAlignment="1">
      <alignment horizontal="center" vertical="center"/>
    </xf>
    <xf numFmtId="0" fontId="20" fillId="2" borderId="2" xfId="1" applyFont="1" applyFill="1" applyBorder="1" applyAlignment="1">
      <alignment horizontal="center" vertical="center"/>
    </xf>
    <xf numFmtId="14" fontId="7" fillId="0" borderId="2" xfId="1" applyNumberFormat="1" applyFont="1" applyFill="1" applyBorder="1" applyAlignment="1">
      <alignment horizontal="center" vertical="center"/>
    </xf>
    <xf numFmtId="177" fontId="7" fillId="3" borderId="2" xfId="1" applyNumberFormat="1" applyFont="1" applyFill="1" applyBorder="1" applyAlignment="1">
      <alignment horizontal="center" vertical="center"/>
    </xf>
    <xf numFmtId="14" fontId="7" fillId="3" borderId="2" xfId="1" applyNumberFormat="1" applyFont="1" applyFill="1" applyBorder="1" applyAlignment="1">
      <alignment horizontal="center" vertical="center"/>
    </xf>
    <xf numFmtId="10" fontId="7" fillId="3" borderId="2" xfId="3" applyNumberFormat="1" applyFont="1" applyFill="1" applyBorder="1" applyAlignment="1">
      <alignment horizontal="center" vertical="center"/>
    </xf>
    <xf numFmtId="0" fontId="4" fillId="6" borderId="2" xfId="1" applyFont="1" applyFill="1" applyBorder="1" applyAlignment="1">
      <alignment vertical="center"/>
    </xf>
    <xf numFmtId="0" fontId="4" fillId="0" borderId="3" xfId="1" applyFont="1" applyBorder="1" applyAlignment="1">
      <alignment vertical="center"/>
    </xf>
    <xf numFmtId="0" fontId="4" fillId="0" borderId="17" xfId="1" applyFont="1" applyBorder="1" applyAlignment="1">
      <alignment vertical="center"/>
    </xf>
    <xf numFmtId="0" fontId="4" fillId="0" borderId="12" xfId="1" applyFont="1" applyBorder="1" applyAlignment="1">
      <alignment vertical="center"/>
    </xf>
    <xf numFmtId="187" fontId="12" fillId="3" borderId="2" xfId="1" applyNumberFormat="1" applyFont="1" applyFill="1" applyBorder="1" applyAlignment="1">
      <alignment horizontal="center" vertical="center"/>
    </xf>
    <xf numFmtId="184" fontId="9" fillId="0" borderId="6" xfId="5" applyNumberFormat="1" applyFont="1" applyFill="1" applyBorder="1" applyAlignment="1">
      <alignment horizontal="center" vertical="center"/>
    </xf>
    <xf numFmtId="14" fontId="4" fillId="0" borderId="0" xfId="1" applyNumberFormat="1" applyFont="1" applyFill="1" applyAlignment="1">
      <alignment vertical="center"/>
    </xf>
    <xf numFmtId="0" fontId="7" fillId="2" borderId="2" xfId="1" applyFont="1" applyFill="1" applyBorder="1" applyAlignment="1">
      <alignment horizontal="center" vertical="center"/>
    </xf>
    <xf numFmtId="41" fontId="7" fillId="0" borderId="2" xfId="5" applyFont="1" applyFill="1" applyBorder="1" applyAlignment="1">
      <alignment horizontal="center" vertical="center"/>
    </xf>
    <xf numFmtId="179" fontId="9" fillId="0" borderId="2" xfId="1" applyNumberFormat="1" applyFont="1" applyFill="1" applyBorder="1" applyAlignment="1">
      <alignment horizontal="center" vertical="center"/>
    </xf>
    <xf numFmtId="0" fontId="9" fillId="0" borderId="10" xfId="1" applyFont="1" applyFill="1" applyBorder="1" applyAlignment="1">
      <alignment vertical="center"/>
    </xf>
    <xf numFmtId="41" fontId="9" fillId="0" borderId="10" xfId="5" applyFont="1" applyFill="1" applyBorder="1" applyAlignment="1">
      <alignment vertical="center"/>
    </xf>
    <xf numFmtId="41" fontId="4" fillId="0" borderId="2" xfId="5" applyFont="1" applyFill="1" applyBorder="1" applyAlignment="1">
      <alignment vertical="center"/>
    </xf>
    <xf numFmtId="41" fontId="9" fillId="0" borderId="2" xfId="5" applyFont="1" applyFill="1" applyBorder="1" applyAlignment="1">
      <alignment vertical="center"/>
    </xf>
    <xf numFmtId="41" fontId="9" fillId="0" borderId="6" xfId="5" applyFont="1" applyFill="1" applyBorder="1" applyAlignment="1">
      <alignment vertical="center"/>
    </xf>
    <xf numFmtId="41" fontId="7" fillId="3" borderId="2" xfId="5" applyFont="1" applyFill="1" applyBorder="1" applyAlignment="1">
      <alignment horizontal="right" vertical="center"/>
    </xf>
    <xf numFmtId="43" fontId="27" fillId="0" borderId="0" xfId="0" applyNumberFormat="1" applyFont="1" applyFill="1" applyBorder="1" applyAlignment="1">
      <alignment horizontal="center" vertical="center"/>
    </xf>
    <xf numFmtId="186" fontId="27" fillId="0" borderId="0" xfId="0" applyNumberFormat="1" applyFont="1" applyFill="1" applyBorder="1" applyAlignment="1">
      <alignment horizontal="center" vertical="center"/>
    </xf>
    <xf numFmtId="183" fontId="9" fillId="0" borderId="2" xfId="1" applyNumberFormat="1" applyFont="1" applyFill="1" applyBorder="1" applyAlignment="1">
      <alignment horizontal="center" vertical="center"/>
    </xf>
    <xf numFmtId="41" fontId="9" fillId="0" borderId="6" xfId="5" applyNumberFormat="1" applyFont="1" applyFill="1" applyBorder="1" applyAlignment="1">
      <alignment vertical="center"/>
    </xf>
    <xf numFmtId="41" fontId="9" fillId="0" borderId="6" xfId="5" applyNumberFormat="1" applyFont="1" applyBorder="1" applyAlignment="1">
      <alignment vertical="center"/>
    </xf>
    <xf numFmtId="41" fontId="8" fillId="0" borderId="2" xfId="2" quotePrefix="1" applyFont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43" fontId="7" fillId="0" borderId="0" xfId="1" applyNumberFormat="1" applyFont="1" applyFill="1" applyBorder="1" applyAlignment="1">
      <alignment vertical="center"/>
    </xf>
    <xf numFmtId="43" fontId="23" fillId="0" borderId="0" xfId="0" applyNumberFormat="1" applyFont="1" applyBorder="1" applyAlignment="1">
      <alignment horizontal="center" vertical="center"/>
    </xf>
    <xf numFmtId="177" fontId="9" fillId="0" borderId="6" xfId="5" applyNumberFormat="1" applyFont="1" applyFill="1" applyBorder="1" applyAlignment="1">
      <alignment vertical="center"/>
    </xf>
    <xf numFmtId="177" fontId="9" fillId="0" borderId="6" xfId="1" applyNumberFormat="1" applyFont="1" applyFill="1" applyBorder="1" applyAlignment="1">
      <alignment vertical="center"/>
    </xf>
    <xf numFmtId="188" fontId="12" fillId="7" borderId="2" xfId="1" applyNumberFormat="1" applyFont="1" applyFill="1" applyBorder="1" applyAlignment="1">
      <alignment horizontal="center" vertical="center"/>
    </xf>
    <xf numFmtId="0" fontId="7" fillId="2" borderId="2" xfId="1" applyFont="1" applyFill="1" applyBorder="1" applyAlignment="1">
      <alignment horizontal="center" vertical="center"/>
    </xf>
    <xf numFmtId="0" fontId="9" fillId="0" borderId="0" xfId="1" applyNumberFormat="1" applyFont="1" applyBorder="1" applyAlignment="1">
      <alignment horizontal="center" vertical="center"/>
    </xf>
    <xf numFmtId="0" fontId="4" fillId="0" borderId="0" xfId="1" applyNumberFormat="1" applyFont="1" applyBorder="1" applyAlignment="1">
      <alignment vertical="center"/>
    </xf>
    <xf numFmtId="0" fontId="9" fillId="0" borderId="0" xfId="2" applyNumberFormat="1" applyFont="1" applyBorder="1" applyAlignment="1">
      <alignment horizontal="center" vertical="center"/>
    </xf>
    <xf numFmtId="1" fontId="4" fillId="0" borderId="0" xfId="2" applyNumberFormat="1" applyFont="1" applyBorder="1" applyAlignment="1">
      <alignment vertical="center"/>
    </xf>
    <xf numFmtId="41" fontId="8" fillId="0" borderId="2" xfId="2" applyFont="1" applyBorder="1" applyAlignment="1">
      <alignment horizontal="center" vertical="center"/>
    </xf>
    <xf numFmtId="180" fontId="9" fillId="7" borderId="2" xfId="2" applyNumberFormat="1" applyFont="1" applyFill="1" applyBorder="1" applyAlignment="1">
      <alignment horizontal="center" vertical="center"/>
    </xf>
    <xf numFmtId="14" fontId="9" fillId="7" borderId="2" xfId="1" applyNumberFormat="1" applyFont="1" applyFill="1" applyBorder="1" applyAlignment="1">
      <alignment horizontal="center" vertical="center"/>
    </xf>
    <xf numFmtId="176" fontId="9" fillId="7" borderId="2" xfId="1" applyNumberFormat="1" applyFont="1" applyFill="1" applyBorder="1" applyAlignment="1">
      <alignment horizontal="center" vertical="center"/>
    </xf>
    <xf numFmtId="0" fontId="28" fillId="0" borderId="0" xfId="1" applyFont="1" applyBorder="1" applyAlignment="1">
      <alignment horizontal="center" vertical="center"/>
    </xf>
    <xf numFmtId="0" fontId="7" fillId="2" borderId="2" xfId="1" applyFont="1" applyFill="1" applyBorder="1" applyAlignment="1">
      <alignment horizontal="center" vertical="center"/>
    </xf>
    <xf numFmtId="0" fontId="7" fillId="2" borderId="3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center" vertical="center"/>
    </xf>
  </cellXfs>
  <cellStyles count="6">
    <cellStyle name="백분율 6" xfId="3"/>
    <cellStyle name="쉼표 [0]" xfId="5" builtinId="6"/>
    <cellStyle name="쉼표 [0] 36" xfId="2"/>
    <cellStyle name="표준" xfId="0" builtinId="0"/>
    <cellStyle name="표준 13" xfId="4"/>
    <cellStyle name="표준_교보생명2-1 모의투자내역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1</xdr:row>
      <xdr:rowOff>47625</xdr:rowOff>
    </xdr:from>
    <xdr:to>
      <xdr:col>8</xdr:col>
      <xdr:colOff>1085850</xdr:colOff>
      <xdr:row>1</xdr:row>
      <xdr:rowOff>342900</xdr:rowOff>
    </xdr:to>
    <xdr:sp macro="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9020175" y="381000"/>
          <a:ext cx="981075" cy="295275"/>
        </a:xfrm>
        <a:prstGeom prst="rect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rgbClr val="C00000"/>
              </a:solidFill>
            </a:rPr>
            <a:t>사 내 한</a:t>
          </a:r>
        </a:p>
      </xdr:txBody>
    </xdr:sp>
    <xdr:clientData/>
  </xdr:twoCellAnchor>
  <xdr:twoCellAnchor>
    <xdr:from>
      <xdr:col>21</xdr:col>
      <xdr:colOff>295275</xdr:colOff>
      <xdr:row>0</xdr:row>
      <xdr:rowOff>133350</xdr:rowOff>
    </xdr:from>
    <xdr:to>
      <xdr:col>25</xdr:col>
      <xdr:colOff>57150</xdr:colOff>
      <xdr:row>8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1116925" y="133350"/>
          <a:ext cx="2809875" cy="2505075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1.</a:t>
          </a:r>
          <a:r>
            <a:rPr lang="en-US" altLang="ko-KR" sz="1100" baseline="0"/>
            <a:t> </a:t>
          </a:r>
          <a:r>
            <a:rPr lang="ko-KR" altLang="en-US" sz="1100" baseline="0"/>
            <a:t>고객이 수탁하고자 하는 통화를 선택한다</a:t>
          </a:r>
          <a:r>
            <a:rPr lang="en-US" altLang="ko-KR" sz="1100" baseline="0"/>
            <a:t>.</a:t>
          </a:r>
        </a:p>
        <a:p>
          <a:r>
            <a:rPr lang="en-US" altLang="ko-KR" sz="1100" baseline="0"/>
            <a:t>   'C13'</a:t>
          </a:r>
          <a:r>
            <a:rPr lang="ko-KR" altLang="en-US" sz="1100" baseline="0"/>
            <a:t>셀을 선택하면 통화코드가 선택 가능함</a:t>
          </a:r>
          <a:r>
            <a:rPr lang="en-US" altLang="ko-KR" sz="1100" baseline="0"/>
            <a:t>.</a:t>
          </a:r>
        </a:p>
        <a:p>
          <a:endParaRPr lang="en-US" altLang="ko-KR" sz="1100" baseline="0"/>
        </a:p>
        <a:p>
          <a:r>
            <a:rPr lang="en-US" altLang="ko-KR" sz="1100" baseline="0"/>
            <a:t>2. </a:t>
          </a:r>
          <a:r>
            <a:rPr lang="ko-KR" altLang="en-US" sz="1100" baseline="0"/>
            <a:t>우측의 노란색 고객입금액을 입력한다</a:t>
          </a:r>
          <a:r>
            <a:rPr lang="en-US" altLang="ko-KR" sz="1100" baseline="0"/>
            <a:t>.</a:t>
          </a:r>
        </a:p>
        <a:p>
          <a:endParaRPr lang="en-US" altLang="ko-KR" sz="1100" baseline="0"/>
        </a:p>
        <a:p>
          <a:r>
            <a:rPr lang="en-US" altLang="ko-KR" sz="1100" baseline="0"/>
            <a:t>3. </a:t>
          </a:r>
          <a:r>
            <a:rPr lang="ko-KR" altLang="en-US" sz="1100" baseline="0"/>
            <a:t>당일의 매수금리 수준을 신탁운용팀에 확인한 후</a:t>
          </a:r>
          <a:endParaRPr lang="en-US" altLang="ko-KR" sz="1100" baseline="0"/>
        </a:p>
        <a:p>
          <a:r>
            <a:rPr lang="en-US" altLang="ko-KR" sz="1100" baseline="0"/>
            <a:t>    'E12'</a:t>
          </a:r>
          <a:r>
            <a:rPr lang="ko-KR" altLang="en-US" sz="1100" baseline="0"/>
            <a:t>셀에 매수금리를 입력하여 준다</a:t>
          </a:r>
          <a:r>
            <a:rPr lang="en-US" altLang="ko-KR" sz="1100" baseline="0"/>
            <a:t>.</a:t>
          </a:r>
        </a:p>
        <a:p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1</xdr:row>
      <xdr:rowOff>47625</xdr:rowOff>
    </xdr:from>
    <xdr:to>
      <xdr:col>8</xdr:col>
      <xdr:colOff>1085850</xdr:colOff>
      <xdr:row>1</xdr:row>
      <xdr:rowOff>342900</xdr:rowOff>
    </xdr:to>
    <xdr:sp macro="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9020175" y="381000"/>
          <a:ext cx="981075" cy="295275"/>
        </a:xfrm>
        <a:prstGeom prst="rect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rgbClr val="C00000"/>
              </a:solidFill>
            </a:rPr>
            <a:t>사 내 한</a:t>
          </a:r>
        </a:p>
      </xdr:txBody>
    </xdr:sp>
    <xdr:clientData/>
  </xdr:twoCellAnchor>
  <xdr:twoCellAnchor>
    <xdr:from>
      <xdr:col>21</xdr:col>
      <xdr:colOff>295275</xdr:colOff>
      <xdr:row>0</xdr:row>
      <xdr:rowOff>133350</xdr:rowOff>
    </xdr:from>
    <xdr:to>
      <xdr:col>25</xdr:col>
      <xdr:colOff>57150</xdr:colOff>
      <xdr:row>8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706100" y="133350"/>
          <a:ext cx="2809875" cy="2505075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1.</a:t>
          </a:r>
          <a:r>
            <a:rPr lang="en-US" altLang="ko-KR" sz="1100" baseline="0"/>
            <a:t> </a:t>
          </a:r>
          <a:r>
            <a:rPr lang="ko-KR" altLang="en-US" sz="1100" baseline="0"/>
            <a:t>고객이 수탁하고자 하는 통화를 선택한다</a:t>
          </a:r>
          <a:r>
            <a:rPr lang="en-US" altLang="ko-KR" sz="1100" baseline="0"/>
            <a:t>.</a:t>
          </a:r>
        </a:p>
        <a:p>
          <a:r>
            <a:rPr lang="en-US" altLang="ko-KR" sz="1100" baseline="0"/>
            <a:t>   'C13'</a:t>
          </a:r>
          <a:r>
            <a:rPr lang="ko-KR" altLang="en-US" sz="1100" baseline="0"/>
            <a:t>셀을 선택하면 통화코드가 선택 가능함</a:t>
          </a:r>
          <a:r>
            <a:rPr lang="en-US" altLang="ko-KR" sz="1100" baseline="0"/>
            <a:t>.</a:t>
          </a:r>
        </a:p>
        <a:p>
          <a:endParaRPr lang="en-US" altLang="ko-KR" sz="1100" baseline="0"/>
        </a:p>
        <a:p>
          <a:r>
            <a:rPr lang="en-US" altLang="ko-KR" sz="1100" baseline="0"/>
            <a:t>2. </a:t>
          </a:r>
          <a:r>
            <a:rPr lang="ko-KR" altLang="en-US" sz="1100" baseline="0"/>
            <a:t>우측의 노란색 고객입금액을 입력한다</a:t>
          </a:r>
          <a:r>
            <a:rPr lang="en-US" altLang="ko-KR" sz="1100" baseline="0"/>
            <a:t>.</a:t>
          </a:r>
        </a:p>
        <a:p>
          <a:endParaRPr lang="en-US" altLang="ko-KR" sz="1100" baseline="0"/>
        </a:p>
        <a:p>
          <a:r>
            <a:rPr lang="en-US" altLang="ko-KR" sz="1100" baseline="0"/>
            <a:t>3. </a:t>
          </a:r>
          <a:r>
            <a:rPr lang="ko-KR" altLang="en-US" sz="1100" baseline="0"/>
            <a:t>당일의 매수금리 수준을 신탁운용팀에 확인한 후</a:t>
          </a:r>
          <a:endParaRPr lang="en-US" altLang="ko-KR" sz="1100" baseline="0"/>
        </a:p>
        <a:p>
          <a:r>
            <a:rPr lang="en-US" altLang="ko-KR" sz="1100" baseline="0"/>
            <a:t>    'E12'</a:t>
          </a:r>
          <a:r>
            <a:rPr lang="ko-KR" altLang="en-US" sz="1100" baseline="0"/>
            <a:t>셀에 매수금리를 입력하여 준다</a:t>
          </a:r>
          <a:r>
            <a:rPr lang="en-US" altLang="ko-KR" sz="1100" baseline="0"/>
            <a:t>.</a:t>
          </a:r>
        </a:p>
        <a:p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1</xdr:row>
      <xdr:rowOff>47625</xdr:rowOff>
    </xdr:from>
    <xdr:to>
      <xdr:col>8</xdr:col>
      <xdr:colOff>1085850</xdr:colOff>
      <xdr:row>1</xdr:row>
      <xdr:rowOff>342900</xdr:rowOff>
    </xdr:to>
    <xdr:sp macro="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8782050" y="295275"/>
          <a:ext cx="981075" cy="295275"/>
        </a:xfrm>
        <a:prstGeom prst="rect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rgbClr val="C00000"/>
              </a:solidFill>
            </a:rPr>
            <a:t>사 내 한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23</xdr:col>
      <xdr:colOff>287895</xdr:colOff>
      <xdr:row>36</xdr:row>
      <xdr:rowOff>3140</xdr:rowOff>
    </xdr:to>
    <xdr:pic>
      <xdr:nvPicPr>
        <xdr:cNvPr id="2" name="그림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85800" y="209550"/>
          <a:ext cx="15375495" cy="733739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39</xdr:row>
      <xdr:rowOff>0</xdr:rowOff>
    </xdr:from>
    <xdr:to>
      <xdr:col>27</xdr:col>
      <xdr:colOff>208638</xdr:colOff>
      <xdr:row>77</xdr:row>
      <xdr:rowOff>62924</xdr:rowOff>
    </xdr:to>
    <xdr:pic>
      <xdr:nvPicPr>
        <xdr:cNvPr id="3" name="그림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85800" y="8172450"/>
          <a:ext cx="18039438" cy="802582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80</xdr:row>
      <xdr:rowOff>0</xdr:rowOff>
    </xdr:from>
    <xdr:to>
      <xdr:col>27</xdr:col>
      <xdr:colOff>170543</xdr:colOff>
      <xdr:row>104</xdr:row>
      <xdr:rowOff>6157</xdr:rowOff>
    </xdr:to>
    <xdr:pic>
      <xdr:nvPicPr>
        <xdr:cNvPr id="4" name="그림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85800" y="16764000"/>
          <a:ext cx="18001343" cy="503535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T338"/>
  <sheetViews>
    <sheetView showGridLines="0" tabSelected="1" zoomScaleNormal="100" zoomScaleSheetLayoutView="90" workbookViewId="0">
      <selection activeCell="E13" sqref="E13"/>
    </sheetView>
  </sheetViews>
  <sheetFormatPr defaultColWidth="10" defaultRowHeight="13.5"/>
  <cols>
    <col min="1" max="1" width="3.125" style="1" customWidth="1"/>
    <col min="2" max="3" width="17.875" style="1" customWidth="1"/>
    <col min="4" max="4" width="16.125" style="1" customWidth="1"/>
    <col min="5" max="5" width="15.5" style="1" customWidth="1"/>
    <col min="6" max="6" width="15.625" style="1" customWidth="1"/>
    <col min="7" max="7" width="16" style="1" customWidth="1"/>
    <col min="8" max="8" width="14.875" style="1" customWidth="1"/>
    <col min="9" max="9" width="15.75" style="1" customWidth="1"/>
    <col min="10" max="10" width="3.875" style="1" customWidth="1"/>
    <col min="11" max="11" width="4.125" style="1" customWidth="1"/>
    <col min="12" max="12" width="12.125" style="1" customWidth="1"/>
    <col min="13" max="13" width="12.125" style="50" customWidth="1"/>
    <col min="14" max="14" width="10.5" style="1" customWidth="1"/>
    <col min="15" max="20" width="14.625" style="1" customWidth="1"/>
    <col min="21" max="43" width="10" style="1" customWidth="1"/>
    <col min="44" max="258" width="10" style="1"/>
    <col min="259" max="264" width="17.875" style="1" customWidth="1"/>
    <col min="265" max="267" width="15.875" style="1" customWidth="1"/>
    <col min="268" max="514" width="10" style="1"/>
    <col min="515" max="520" width="17.875" style="1" customWidth="1"/>
    <col min="521" max="523" width="15.875" style="1" customWidth="1"/>
    <col min="524" max="770" width="10" style="1"/>
    <col min="771" max="776" width="17.875" style="1" customWidth="1"/>
    <col min="777" max="779" width="15.875" style="1" customWidth="1"/>
    <col min="780" max="1026" width="10" style="1"/>
    <col min="1027" max="1032" width="17.875" style="1" customWidth="1"/>
    <col min="1033" max="1035" width="15.875" style="1" customWidth="1"/>
    <col min="1036" max="1282" width="10" style="1"/>
    <col min="1283" max="1288" width="17.875" style="1" customWidth="1"/>
    <col min="1289" max="1291" width="15.875" style="1" customWidth="1"/>
    <col min="1292" max="1538" width="10" style="1"/>
    <col min="1539" max="1544" width="17.875" style="1" customWidth="1"/>
    <col min="1545" max="1547" width="15.875" style="1" customWidth="1"/>
    <col min="1548" max="1794" width="10" style="1"/>
    <col min="1795" max="1800" width="17.875" style="1" customWidth="1"/>
    <col min="1801" max="1803" width="15.875" style="1" customWidth="1"/>
    <col min="1804" max="2050" width="10" style="1"/>
    <col min="2051" max="2056" width="17.875" style="1" customWidth="1"/>
    <col min="2057" max="2059" width="15.875" style="1" customWidth="1"/>
    <col min="2060" max="2306" width="10" style="1"/>
    <col min="2307" max="2312" width="17.875" style="1" customWidth="1"/>
    <col min="2313" max="2315" width="15.875" style="1" customWidth="1"/>
    <col min="2316" max="2562" width="10" style="1"/>
    <col min="2563" max="2568" width="17.875" style="1" customWidth="1"/>
    <col min="2569" max="2571" width="15.875" style="1" customWidth="1"/>
    <col min="2572" max="2818" width="10" style="1"/>
    <col min="2819" max="2824" width="17.875" style="1" customWidth="1"/>
    <col min="2825" max="2827" width="15.875" style="1" customWidth="1"/>
    <col min="2828" max="3074" width="10" style="1"/>
    <col min="3075" max="3080" width="17.875" style="1" customWidth="1"/>
    <col min="3081" max="3083" width="15.875" style="1" customWidth="1"/>
    <col min="3084" max="3330" width="10" style="1"/>
    <col min="3331" max="3336" width="17.875" style="1" customWidth="1"/>
    <col min="3337" max="3339" width="15.875" style="1" customWidth="1"/>
    <col min="3340" max="3586" width="10" style="1"/>
    <col min="3587" max="3592" width="17.875" style="1" customWidth="1"/>
    <col min="3593" max="3595" width="15.875" style="1" customWidth="1"/>
    <col min="3596" max="3842" width="10" style="1"/>
    <col min="3843" max="3848" width="17.875" style="1" customWidth="1"/>
    <col min="3849" max="3851" width="15.875" style="1" customWidth="1"/>
    <col min="3852" max="4098" width="10" style="1"/>
    <col min="4099" max="4104" width="17.875" style="1" customWidth="1"/>
    <col min="4105" max="4107" width="15.875" style="1" customWidth="1"/>
    <col min="4108" max="4354" width="10" style="1"/>
    <col min="4355" max="4360" width="17.875" style="1" customWidth="1"/>
    <col min="4361" max="4363" width="15.875" style="1" customWidth="1"/>
    <col min="4364" max="4610" width="10" style="1"/>
    <col min="4611" max="4616" width="17.875" style="1" customWidth="1"/>
    <col min="4617" max="4619" width="15.875" style="1" customWidth="1"/>
    <col min="4620" max="4866" width="10" style="1"/>
    <col min="4867" max="4872" width="17.875" style="1" customWidth="1"/>
    <col min="4873" max="4875" width="15.875" style="1" customWidth="1"/>
    <col min="4876" max="5122" width="10" style="1"/>
    <col min="5123" max="5128" width="17.875" style="1" customWidth="1"/>
    <col min="5129" max="5131" width="15.875" style="1" customWidth="1"/>
    <col min="5132" max="5378" width="10" style="1"/>
    <col min="5379" max="5384" width="17.875" style="1" customWidth="1"/>
    <col min="5385" max="5387" width="15.875" style="1" customWidth="1"/>
    <col min="5388" max="5634" width="10" style="1"/>
    <col min="5635" max="5640" width="17.875" style="1" customWidth="1"/>
    <col min="5641" max="5643" width="15.875" style="1" customWidth="1"/>
    <col min="5644" max="5890" width="10" style="1"/>
    <col min="5891" max="5896" width="17.875" style="1" customWidth="1"/>
    <col min="5897" max="5899" width="15.875" style="1" customWidth="1"/>
    <col min="5900" max="6146" width="10" style="1"/>
    <col min="6147" max="6152" width="17.875" style="1" customWidth="1"/>
    <col min="6153" max="6155" width="15.875" style="1" customWidth="1"/>
    <col min="6156" max="6402" width="10" style="1"/>
    <col min="6403" max="6408" width="17.875" style="1" customWidth="1"/>
    <col min="6409" max="6411" width="15.875" style="1" customWidth="1"/>
    <col min="6412" max="6658" width="10" style="1"/>
    <col min="6659" max="6664" width="17.875" style="1" customWidth="1"/>
    <col min="6665" max="6667" width="15.875" style="1" customWidth="1"/>
    <col min="6668" max="6914" width="10" style="1"/>
    <col min="6915" max="6920" width="17.875" style="1" customWidth="1"/>
    <col min="6921" max="6923" width="15.875" style="1" customWidth="1"/>
    <col min="6924" max="7170" width="10" style="1"/>
    <col min="7171" max="7176" width="17.875" style="1" customWidth="1"/>
    <col min="7177" max="7179" width="15.875" style="1" customWidth="1"/>
    <col min="7180" max="7426" width="10" style="1"/>
    <col min="7427" max="7432" width="17.875" style="1" customWidth="1"/>
    <col min="7433" max="7435" width="15.875" style="1" customWidth="1"/>
    <col min="7436" max="7682" width="10" style="1"/>
    <col min="7683" max="7688" width="17.875" style="1" customWidth="1"/>
    <col min="7689" max="7691" width="15.875" style="1" customWidth="1"/>
    <col min="7692" max="7938" width="10" style="1"/>
    <col min="7939" max="7944" width="17.875" style="1" customWidth="1"/>
    <col min="7945" max="7947" width="15.875" style="1" customWidth="1"/>
    <col min="7948" max="8194" width="10" style="1"/>
    <col min="8195" max="8200" width="17.875" style="1" customWidth="1"/>
    <col min="8201" max="8203" width="15.875" style="1" customWidth="1"/>
    <col min="8204" max="8450" width="10" style="1"/>
    <col min="8451" max="8456" width="17.875" style="1" customWidth="1"/>
    <col min="8457" max="8459" width="15.875" style="1" customWidth="1"/>
    <col min="8460" max="8706" width="10" style="1"/>
    <col min="8707" max="8712" width="17.875" style="1" customWidth="1"/>
    <col min="8713" max="8715" width="15.875" style="1" customWidth="1"/>
    <col min="8716" max="8962" width="10" style="1"/>
    <col min="8963" max="8968" width="17.875" style="1" customWidth="1"/>
    <col min="8969" max="8971" width="15.875" style="1" customWidth="1"/>
    <col min="8972" max="9218" width="10" style="1"/>
    <col min="9219" max="9224" width="17.875" style="1" customWidth="1"/>
    <col min="9225" max="9227" width="15.875" style="1" customWidth="1"/>
    <col min="9228" max="9474" width="10" style="1"/>
    <col min="9475" max="9480" width="17.875" style="1" customWidth="1"/>
    <col min="9481" max="9483" width="15.875" style="1" customWidth="1"/>
    <col min="9484" max="9730" width="10" style="1"/>
    <col min="9731" max="9736" width="17.875" style="1" customWidth="1"/>
    <col min="9737" max="9739" width="15.875" style="1" customWidth="1"/>
    <col min="9740" max="9986" width="10" style="1"/>
    <col min="9987" max="9992" width="17.875" style="1" customWidth="1"/>
    <col min="9993" max="9995" width="15.875" style="1" customWidth="1"/>
    <col min="9996" max="10242" width="10" style="1"/>
    <col min="10243" max="10248" width="17.875" style="1" customWidth="1"/>
    <col min="10249" max="10251" width="15.875" style="1" customWidth="1"/>
    <col min="10252" max="10498" width="10" style="1"/>
    <col min="10499" max="10504" width="17.875" style="1" customWidth="1"/>
    <col min="10505" max="10507" width="15.875" style="1" customWidth="1"/>
    <col min="10508" max="10754" width="10" style="1"/>
    <col min="10755" max="10760" width="17.875" style="1" customWidth="1"/>
    <col min="10761" max="10763" width="15.875" style="1" customWidth="1"/>
    <col min="10764" max="11010" width="10" style="1"/>
    <col min="11011" max="11016" width="17.875" style="1" customWidth="1"/>
    <col min="11017" max="11019" width="15.875" style="1" customWidth="1"/>
    <col min="11020" max="11266" width="10" style="1"/>
    <col min="11267" max="11272" width="17.875" style="1" customWidth="1"/>
    <col min="11273" max="11275" width="15.875" style="1" customWidth="1"/>
    <col min="11276" max="11522" width="10" style="1"/>
    <col min="11523" max="11528" width="17.875" style="1" customWidth="1"/>
    <col min="11529" max="11531" width="15.875" style="1" customWidth="1"/>
    <col min="11532" max="11778" width="10" style="1"/>
    <col min="11779" max="11784" width="17.875" style="1" customWidth="1"/>
    <col min="11785" max="11787" width="15.875" style="1" customWidth="1"/>
    <col min="11788" max="12034" width="10" style="1"/>
    <col min="12035" max="12040" width="17.875" style="1" customWidth="1"/>
    <col min="12041" max="12043" width="15.875" style="1" customWidth="1"/>
    <col min="12044" max="12290" width="10" style="1"/>
    <col min="12291" max="12296" width="17.875" style="1" customWidth="1"/>
    <col min="12297" max="12299" width="15.875" style="1" customWidth="1"/>
    <col min="12300" max="12546" width="10" style="1"/>
    <col min="12547" max="12552" width="17.875" style="1" customWidth="1"/>
    <col min="12553" max="12555" width="15.875" style="1" customWidth="1"/>
    <col min="12556" max="12802" width="10" style="1"/>
    <col min="12803" max="12808" width="17.875" style="1" customWidth="1"/>
    <col min="12809" max="12811" width="15.875" style="1" customWidth="1"/>
    <col min="12812" max="13058" width="10" style="1"/>
    <col min="13059" max="13064" width="17.875" style="1" customWidth="1"/>
    <col min="13065" max="13067" width="15.875" style="1" customWidth="1"/>
    <col min="13068" max="13314" width="10" style="1"/>
    <col min="13315" max="13320" width="17.875" style="1" customWidth="1"/>
    <col min="13321" max="13323" width="15.875" style="1" customWidth="1"/>
    <col min="13324" max="13570" width="10" style="1"/>
    <col min="13571" max="13576" width="17.875" style="1" customWidth="1"/>
    <col min="13577" max="13579" width="15.875" style="1" customWidth="1"/>
    <col min="13580" max="13826" width="10" style="1"/>
    <col min="13827" max="13832" width="17.875" style="1" customWidth="1"/>
    <col min="13833" max="13835" width="15.875" style="1" customWidth="1"/>
    <col min="13836" max="14082" width="10" style="1"/>
    <col min="14083" max="14088" width="17.875" style="1" customWidth="1"/>
    <col min="14089" max="14091" width="15.875" style="1" customWidth="1"/>
    <col min="14092" max="14338" width="10" style="1"/>
    <col min="14339" max="14344" width="17.875" style="1" customWidth="1"/>
    <col min="14345" max="14347" width="15.875" style="1" customWidth="1"/>
    <col min="14348" max="14594" width="10" style="1"/>
    <col min="14595" max="14600" width="17.875" style="1" customWidth="1"/>
    <col min="14601" max="14603" width="15.875" style="1" customWidth="1"/>
    <col min="14604" max="14850" width="10" style="1"/>
    <col min="14851" max="14856" width="17.875" style="1" customWidth="1"/>
    <col min="14857" max="14859" width="15.875" style="1" customWidth="1"/>
    <col min="14860" max="15106" width="10" style="1"/>
    <col min="15107" max="15112" width="17.875" style="1" customWidth="1"/>
    <col min="15113" max="15115" width="15.875" style="1" customWidth="1"/>
    <col min="15116" max="15362" width="10" style="1"/>
    <col min="15363" max="15368" width="17.875" style="1" customWidth="1"/>
    <col min="15369" max="15371" width="15.875" style="1" customWidth="1"/>
    <col min="15372" max="15618" width="10" style="1"/>
    <col min="15619" max="15624" width="17.875" style="1" customWidth="1"/>
    <col min="15625" max="15627" width="15.875" style="1" customWidth="1"/>
    <col min="15628" max="15874" width="10" style="1"/>
    <col min="15875" max="15880" width="17.875" style="1" customWidth="1"/>
    <col min="15881" max="15883" width="15.875" style="1" customWidth="1"/>
    <col min="15884" max="16130" width="10" style="1"/>
    <col min="16131" max="16136" width="17.875" style="1" customWidth="1"/>
    <col min="16137" max="16139" width="15.875" style="1" customWidth="1"/>
    <col min="16140" max="16384" width="10" style="1"/>
  </cols>
  <sheetData>
    <row r="1" spans="1:19" ht="26.25" customHeight="1">
      <c r="A1" s="83"/>
      <c r="B1" s="84" t="s">
        <v>112</v>
      </c>
      <c r="C1" s="60"/>
      <c r="D1" s="60"/>
      <c r="E1" s="60"/>
      <c r="F1" s="60"/>
      <c r="G1" s="60"/>
      <c r="H1" s="60"/>
      <c r="I1" s="60"/>
      <c r="J1" s="61"/>
      <c r="K1" s="3"/>
      <c r="M1" s="118"/>
    </row>
    <row r="2" spans="1:19" ht="42.75" customHeight="1">
      <c r="A2" s="62"/>
      <c r="B2" s="149" t="str">
        <f>"("&amp;C12&amp;")"&amp;" "&amp;C6&amp;" "&amp; "시뮬레이션"</f>
        <v>(USD)  시뮬레이션</v>
      </c>
      <c r="C2" s="149"/>
      <c r="D2" s="149"/>
      <c r="E2" s="149"/>
      <c r="F2" s="149"/>
      <c r="G2" s="149"/>
      <c r="H2" s="149"/>
      <c r="I2" s="149"/>
      <c r="J2" s="85"/>
      <c r="K2" s="80"/>
      <c r="M2" s="44"/>
      <c r="N2" s="42"/>
    </row>
    <row r="3" spans="1:19" ht="14.25" customHeight="1">
      <c r="A3" s="62"/>
      <c r="B3" s="78" t="s">
        <v>31</v>
      </c>
      <c r="C3" s="55" t="s">
        <v>242</v>
      </c>
      <c r="D3" s="2"/>
      <c r="E3" s="2"/>
      <c r="F3" s="2"/>
      <c r="G3" s="2"/>
      <c r="H3" s="2"/>
      <c r="I3" s="2"/>
      <c r="J3" s="63"/>
      <c r="K3" s="2"/>
      <c r="L3" s="3"/>
      <c r="M3" s="45"/>
      <c r="O3" s="25"/>
      <c r="P3" s="51"/>
      <c r="Q3" s="45"/>
    </row>
    <row r="4" spans="1:19" ht="22.5" customHeight="1">
      <c r="A4" s="62"/>
      <c r="B4" s="78" t="s">
        <v>126</v>
      </c>
      <c r="C4" s="78">
        <v>1300</v>
      </c>
      <c r="D4" s="134" t="s">
        <v>127</v>
      </c>
      <c r="E4" s="145" t="s">
        <v>245</v>
      </c>
      <c r="F4" s="3"/>
      <c r="G4" s="3"/>
      <c r="H4" s="5"/>
      <c r="I4" s="3"/>
      <c r="J4" s="70"/>
      <c r="K4" s="41"/>
      <c r="L4" s="3"/>
      <c r="M4" s="45"/>
      <c r="O4" s="25"/>
      <c r="P4" s="52"/>
      <c r="Q4" s="45"/>
    </row>
    <row r="5" spans="1:19" ht="22.5" customHeight="1" thickBot="1">
      <c r="A5" s="62"/>
      <c r="B5" s="150" t="s">
        <v>24</v>
      </c>
      <c r="C5" s="150"/>
      <c r="D5" s="151" t="s">
        <v>0</v>
      </c>
      <c r="E5" s="151"/>
      <c r="F5" s="152" t="s">
        <v>1</v>
      </c>
      <c r="G5" s="153"/>
      <c r="H5" s="79"/>
      <c r="I5" s="43"/>
      <c r="J5" s="81"/>
      <c r="K5" s="43"/>
      <c r="L5" s="3"/>
      <c r="M5" s="45" t="s">
        <v>128</v>
      </c>
      <c r="O5" s="45"/>
      <c r="P5" s="45"/>
      <c r="Q5" s="45"/>
    </row>
    <row r="6" spans="1:19" ht="22.5" customHeight="1" thickBot="1">
      <c r="A6" s="62"/>
      <c r="B6" s="106" t="s">
        <v>94</v>
      </c>
      <c r="C6" s="146"/>
      <c r="D6" s="103" t="s">
        <v>133</v>
      </c>
      <c r="E6" s="36">
        <f>I7-I7*G6</f>
        <v>990000</v>
      </c>
      <c r="F6" s="103" t="s">
        <v>42</v>
      </c>
      <c r="G6" s="111">
        <v>0.01</v>
      </c>
      <c r="H6" s="79"/>
      <c r="I6" s="97" t="str">
        <f>"고객 입금액"&amp;"("&amp;C13&amp;")"</f>
        <v>고객 입금액(USD)</v>
      </c>
      <c r="J6" s="81"/>
      <c r="K6" s="43"/>
      <c r="L6" s="3"/>
      <c r="M6" s="45" t="s">
        <v>129</v>
      </c>
      <c r="N6" s="112" t="s">
        <v>119</v>
      </c>
      <c r="O6" s="112" t="s">
        <v>120</v>
      </c>
      <c r="P6" s="112" t="s">
        <v>121</v>
      </c>
    </row>
    <row r="7" spans="1:19" ht="22.5" customHeight="1" thickBot="1">
      <c r="A7" s="62"/>
      <c r="B7" s="103" t="s">
        <v>18</v>
      </c>
      <c r="C7" s="147"/>
      <c r="D7" s="103" t="s">
        <v>22</v>
      </c>
      <c r="E7" s="110">
        <f ca="1">TODAY()</f>
        <v>46255</v>
      </c>
      <c r="F7" s="103" t="s">
        <v>45</v>
      </c>
      <c r="G7" s="124">
        <f>TRUNC(I7*G6,0)</f>
        <v>10000</v>
      </c>
      <c r="H7" s="123"/>
      <c r="I7" s="96">
        <v>1000000</v>
      </c>
      <c r="J7" s="81"/>
      <c r="K7" s="43"/>
      <c r="L7" s="3"/>
      <c r="M7" s="45" t="s">
        <v>130</v>
      </c>
      <c r="N7" s="113" t="s">
        <v>26</v>
      </c>
      <c r="O7" s="113" t="s">
        <v>35</v>
      </c>
      <c r="P7" s="113" t="s">
        <v>114</v>
      </c>
    </row>
    <row r="8" spans="1:19" ht="22.5" customHeight="1">
      <c r="A8" s="62"/>
      <c r="B8" s="103" t="s">
        <v>19</v>
      </c>
      <c r="C8" s="147"/>
      <c r="D8" s="103" t="s">
        <v>23</v>
      </c>
      <c r="E8" s="108">
        <f>C8+C17</f>
        <v>11</v>
      </c>
      <c r="F8" s="103" t="s">
        <v>43</v>
      </c>
      <c r="G8" s="111">
        <v>5.0000000000000001E-3</v>
      </c>
      <c r="H8" s="122"/>
      <c r="I8" s="43"/>
      <c r="J8" s="81"/>
      <c r="K8" s="43"/>
      <c r="L8" s="3"/>
      <c r="M8" s="45" t="s">
        <v>131</v>
      </c>
      <c r="N8" s="114" t="s">
        <v>27</v>
      </c>
      <c r="O8" s="114" t="s">
        <v>37</v>
      </c>
      <c r="P8" s="114" t="s">
        <v>115</v>
      </c>
    </row>
    <row r="9" spans="1:19" ht="22.5" customHeight="1">
      <c r="A9" s="62"/>
      <c r="B9" s="103" t="s">
        <v>20</v>
      </c>
      <c r="C9" s="148"/>
      <c r="D9" s="103" t="s">
        <v>4</v>
      </c>
      <c r="E9" s="109" t="e">
        <f ca="1">IF(C13="krw",ROUNDDOWN(E6/C14/E11*100,-3),ROUNDDOWN(E6/E11*100,-3))</f>
        <v>#NUM!</v>
      </c>
      <c r="F9" s="103" t="s">
        <v>5</v>
      </c>
      <c r="G9" s="101">
        <f ca="1">+E8-E7</f>
        <v>-46244</v>
      </c>
      <c r="H9" s="122"/>
      <c r="I9" s="128"/>
      <c r="J9" s="81"/>
      <c r="K9" s="43"/>
      <c r="L9" s="3"/>
      <c r="M9" s="45"/>
      <c r="N9" s="114" t="s">
        <v>28</v>
      </c>
      <c r="O9" s="114" t="s">
        <v>38</v>
      </c>
      <c r="P9" s="114" t="s">
        <v>116</v>
      </c>
    </row>
    <row r="10" spans="1:19" ht="22.5" customHeight="1">
      <c r="A10" s="62"/>
      <c r="B10" s="103" t="s">
        <v>34</v>
      </c>
      <c r="C10" s="94" t="s">
        <v>243</v>
      </c>
      <c r="D10" s="103" t="s">
        <v>32</v>
      </c>
      <c r="E10" s="34" t="e">
        <f ca="1">ROUNDUP(PRICE($O$12,$C$8,$C$9,$E$12,100,IF($C$10=O9,1,IF($C$10=O8,2,4))),4)</f>
        <v>#NUM!</v>
      </c>
      <c r="F10" s="104" t="s">
        <v>6</v>
      </c>
      <c r="G10" s="125" t="e">
        <f ca="1">IF(C13="krw",TRUNC(D319+(C319*C15)+E15-($I$7*G8/365*G9),0),TRUNC(D319+(C319)+E15-($I$7*G8/365*G9),0))</f>
        <v>#NUM!</v>
      </c>
      <c r="H10" s="122"/>
      <c r="I10" s="129"/>
      <c r="J10" s="81"/>
      <c r="K10" s="43"/>
      <c r="L10" s="4"/>
      <c r="M10" s="46"/>
      <c r="N10" s="114" t="s">
        <v>29</v>
      </c>
      <c r="O10" s="114"/>
      <c r="P10" s="114" t="s">
        <v>117</v>
      </c>
    </row>
    <row r="11" spans="1:19" ht="22.5" customHeight="1">
      <c r="A11" s="62"/>
      <c r="B11" s="103" t="s">
        <v>21</v>
      </c>
      <c r="C11" s="93"/>
      <c r="D11" s="103" t="s">
        <v>33</v>
      </c>
      <c r="E11" s="130" t="e">
        <f ca="1">ROUNDUP(E10+(100*$C$9*YEARFRAC($O$13,$O$12,IF(C3=N7,0,IF(C3=N8,1,IF(C3=N9,2,IF(C3=N10,3,4)))))),4)</f>
        <v>#NUM!</v>
      </c>
      <c r="F11" s="107" t="s">
        <v>95</v>
      </c>
      <c r="G11" s="125">
        <f>TRUNC(I7*G8/365*(E8-C8),0)</f>
        <v>150</v>
      </c>
      <c r="H11" s="122"/>
      <c r="I11" s="135"/>
      <c r="J11" s="81"/>
      <c r="K11" s="43"/>
      <c r="L11" s="4"/>
      <c r="M11" s="46"/>
      <c r="N11" s="115" t="s">
        <v>30</v>
      </c>
      <c r="O11" s="115"/>
      <c r="P11" s="115" t="s">
        <v>124</v>
      </c>
    </row>
    <row r="12" spans="1:19" ht="22.5" customHeight="1">
      <c r="A12" s="62"/>
      <c r="B12" s="103" t="s">
        <v>125</v>
      </c>
      <c r="C12" s="93" t="s">
        <v>244</v>
      </c>
      <c r="D12" s="103" t="s">
        <v>7</v>
      </c>
      <c r="E12" s="139"/>
      <c r="F12" s="104" t="s">
        <v>10</v>
      </c>
      <c r="G12" s="125" t="e">
        <f ca="1">IF(C13="krw",(TRUNC(I319+(C319*C15)+E15-G11,0)),(TRUNC(I319+(C319)+E15-G11,0)))</f>
        <v>#NUM!</v>
      </c>
      <c r="H12" s="122"/>
      <c r="I12" s="43"/>
      <c r="J12" s="81"/>
      <c r="K12" s="43"/>
      <c r="L12" s="4"/>
      <c r="M12" s="46"/>
      <c r="N12" s="103" t="s">
        <v>8</v>
      </c>
      <c r="O12" s="95">
        <f ca="1">WORKDAY(E7,2)</f>
        <v>46259</v>
      </c>
    </row>
    <row r="13" spans="1:19" ht="22.5" customHeight="1">
      <c r="A13" s="62"/>
      <c r="B13" s="103" t="s">
        <v>39</v>
      </c>
      <c r="C13" s="109" t="s">
        <v>244</v>
      </c>
      <c r="D13" s="103" t="s">
        <v>134</v>
      </c>
      <c r="E13" s="98" t="e">
        <f ca="1">E9*$C$9*YEARFRAC($O$13,$O$12,IF(C3=N7,0,IF(C3=N8,1,IF(C3=N9,2,IF(C3=N10,3,4)))))</f>
        <v>#NUM!</v>
      </c>
      <c r="F13" s="140" t="s">
        <v>12</v>
      </c>
      <c r="G13" s="22" t="e">
        <f ca="1">(G10-I7)/I7*365/G9</f>
        <v>#NUM!</v>
      </c>
      <c r="H13" s="122"/>
      <c r="I13" s="43"/>
      <c r="J13" s="81"/>
      <c r="K13" s="43"/>
      <c r="L13" s="4"/>
      <c r="M13" s="46"/>
      <c r="N13" s="104" t="s">
        <v>25</v>
      </c>
      <c r="O13" s="91" t="e">
        <f ca="1">COUPPCD(O12,C8,IF($C$10=$O$9,1,IF($C$10=$O$8,2,4)),IF(C3=N7,0,IF(C3=N8,1,IF(C3=N9,2,IF(C3=N10,3,4)))))</f>
        <v>#NUM!</v>
      </c>
    </row>
    <row r="14" spans="1:19" ht="22.5" customHeight="1">
      <c r="A14" s="62"/>
      <c r="B14" s="103" t="s">
        <v>122</v>
      </c>
      <c r="C14" s="121">
        <f>C4</f>
        <v>1300</v>
      </c>
      <c r="D14" s="103" t="s">
        <v>132</v>
      </c>
      <c r="E14" s="99" t="e">
        <f ca="1">IF(C13="KRW",E9*E11/100*C14,E9*E11/100)</f>
        <v>#NUM!</v>
      </c>
      <c r="F14" s="140" t="s">
        <v>2</v>
      </c>
      <c r="G14" s="22" t="e">
        <f ca="1">(G12-I7)/I7*365/G9</f>
        <v>#NUM!</v>
      </c>
      <c r="H14" s="3"/>
      <c r="I14" s="53"/>
      <c r="J14" s="64"/>
      <c r="K14" s="53"/>
      <c r="L14" s="3"/>
      <c r="M14" s="45"/>
    </row>
    <row r="15" spans="1:19" ht="22.5" customHeight="1">
      <c r="A15" s="62"/>
      <c r="B15" s="103" t="s">
        <v>123</v>
      </c>
      <c r="C15" s="121">
        <f>C4</f>
        <v>1300</v>
      </c>
      <c r="D15" s="103" t="s">
        <v>44</v>
      </c>
      <c r="E15" s="120" t="e">
        <f ca="1">TRUNC(I7-G7-E14,0)</f>
        <v>#NUM!</v>
      </c>
      <c r="F15" s="140" t="s">
        <v>3</v>
      </c>
      <c r="G15" s="22" t="e">
        <f ca="1">G14/(1-0.154)</f>
        <v>#NUM!</v>
      </c>
      <c r="H15" s="3"/>
      <c r="I15" s="57"/>
      <c r="J15" s="65"/>
      <c r="K15" s="39"/>
      <c r="L15" s="3"/>
      <c r="M15" s="45"/>
    </row>
    <row r="16" spans="1:19" ht="20.25" customHeight="1">
      <c r="A16" s="62"/>
      <c r="B16" s="141" t="s">
        <v>239</v>
      </c>
      <c r="C16" s="143" t="s">
        <v>240</v>
      </c>
      <c r="D16" s="25"/>
      <c r="E16" s="26"/>
      <c r="F16" s="25"/>
      <c r="G16" s="25"/>
      <c r="H16" s="27"/>
      <c r="I16" s="39"/>
      <c r="J16" s="65"/>
      <c r="K16" s="39"/>
      <c r="L16" s="3"/>
      <c r="M16" s="45"/>
      <c r="S16" s="54"/>
    </row>
    <row r="17" spans="1:20" ht="20.25" customHeight="1">
      <c r="A17" s="62"/>
      <c r="B17" s="142" t="s">
        <v>241</v>
      </c>
      <c r="C17" s="144">
        <v>11</v>
      </c>
      <c r="D17" s="23"/>
      <c r="E17" s="4"/>
      <c r="F17" s="3"/>
      <c r="G17" s="3"/>
      <c r="H17" s="5"/>
      <c r="I17" s="3"/>
      <c r="J17" s="70"/>
      <c r="K17" s="45"/>
      <c r="L17" s="45"/>
      <c r="M17" s="45"/>
    </row>
    <row r="18" spans="1:20" ht="20.25" customHeight="1">
      <c r="A18" s="62"/>
      <c r="B18" s="140" t="s">
        <v>101</v>
      </c>
      <c r="C18" s="140" t="s">
        <v>99</v>
      </c>
      <c r="D18" s="140" t="s">
        <v>14</v>
      </c>
      <c r="E18" s="140" t="s">
        <v>46</v>
      </c>
      <c r="F18" s="140" t="s">
        <v>47</v>
      </c>
      <c r="G18" s="140" t="s">
        <v>15</v>
      </c>
      <c r="H18" s="140" t="str">
        <f>IF(E4="개인","농특세","농특세")</f>
        <v>농특세</v>
      </c>
      <c r="I18" s="140" t="s">
        <v>17</v>
      </c>
      <c r="J18" s="66"/>
      <c r="K18" s="25"/>
      <c r="L18" s="25"/>
      <c r="M18" s="140" t="s">
        <v>13</v>
      </c>
      <c r="O18" s="1" t="s">
        <v>48</v>
      </c>
      <c r="P18" s="1" t="s">
        <v>53</v>
      </c>
      <c r="Q18" s="1" t="s">
        <v>50</v>
      </c>
      <c r="R18" s="1" t="s">
        <v>52</v>
      </c>
      <c r="S18" s="1" t="s">
        <v>49</v>
      </c>
      <c r="T18" s="1" t="s">
        <v>51</v>
      </c>
    </row>
    <row r="19" spans="1:20" ht="20.25" customHeight="1">
      <c r="A19" s="62"/>
      <c r="B19" s="6" t="e">
        <f ca="1">COUPNCD(O12,C8,IF($C$10=O9,1,IF($C$10=O8,2,4)))</f>
        <v>#NUM!</v>
      </c>
      <c r="C19" s="117" t="e">
        <f t="shared" ref="C19:C20" ca="1" si="0">IF(B19=$C$8,$E$9,"")</f>
        <v>#NUM!</v>
      </c>
      <c r="D19" s="131" t="e">
        <f ca="1">IF(B19="","",IF($C$13="krw",(TRUNC(($C$9*$E$9)/(IF($C$10=$O$9,1,IF($C$10=$O$8,2,4))),2)*$C$14),(TRUNC(($C$9*$E$9)/(IF($C$10=$O$9,1,IF($C$10=$O$8,2,4))),2))))</f>
        <v>#NUM!</v>
      </c>
      <c r="E19" s="131" t="e">
        <f ca="1">IF(B19="","",IF($C$13="krw",(TRUNC(D19-$E$9*$C$9*$C$14*YEARFRAC($O$13,$O$12,IF(C3=N7,0,IF(C3=N8,1,IF(C3=N9,2,IF(C3=N10,3,4))))),0)),(TRUNC(D19-$E$9*$C$9*YEARFRAC($O$13,$O$12,IF(C3=N7,0,IF(C3=N8,1,IF(C3=N9,2,IF(C3=N10,3,4))))),0))))</f>
        <v>#NUM!</v>
      </c>
      <c r="F19" s="137" t="e">
        <f ca="1">IF(E19&gt;R19,E19-R19,0)</f>
        <v>#NUM!</v>
      </c>
      <c r="G19" s="132" t="e">
        <f ca="1">IF($C$16="비과세(0%)",0,IF($C$16="표준(소득세14%+지방세)",ROUNDDOWN(F19*14%,2),ROUNDDOWN(F19*0%,-1)))</f>
        <v>#NUM!</v>
      </c>
      <c r="H19" s="132" t="e">
        <f ca="1">IF($C$16="비과세(0%)",0,IF($C$16="표준(소득세14%+지방세)",ROUNDDOWN(G19*10%,2),IF($E$4="개인",F19*1.4%,F19*2.8%)))</f>
        <v>#NUM!</v>
      </c>
      <c r="I19" s="131" t="e">
        <f ca="1">IF(B19="","",D19-P19-G19-H19)</f>
        <v>#NUM!</v>
      </c>
      <c r="J19" s="86"/>
      <c r="K19" s="11"/>
      <c r="L19" s="11"/>
      <c r="M19" s="6">
        <f ca="1">E7</f>
        <v>46255</v>
      </c>
      <c r="N19" s="40" t="str">
        <f>ROW()-18&amp;"기 보수"</f>
        <v>1기 보수</v>
      </c>
      <c r="O19" s="38">
        <f>G7</f>
        <v>10000</v>
      </c>
      <c r="P19" s="38" t="e">
        <f ca="1">$I$7*$G$8/365*(_xlfn.DAYS(B19,$E$7))</f>
        <v>#NAME?</v>
      </c>
      <c r="Q19" s="38" t="e">
        <f ca="1">P19</f>
        <v>#NAME?</v>
      </c>
      <c r="R19" s="38" t="e">
        <f ca="1">+O19+Q19</f>
        <v>#NAME?</v>
      </c>
      <c r="S19" s="38" t="e">
        <f t="shared" ref="S19:S20" ca="1" si="1">IF(E19&lt;O19,O19-E19,0)</f>
        <v>#NUM!</v>
      </c>
      <c r="T19" s="38" t="e">
        <f t="shared" ref="T19:T20" ca="1" si="2">IF(S19&gt;0,Q19,IF(E19&gt;R19,0,Q19-(E19-O19)))</f>
        <v>#NUM!</v>
      </c>
    </row>
    <row r="20" spans="1:20" ht="20.25" customHeight="1">
      <c r="A20" s="62"/>
      <c r="B20" s="6" t="e">
        <f t="shared" ref="B20" ca="1" si="3">IF(B19&lt;$C$8,COUPNCD(B19,$C$8,IF($C$10=O$9,1,IF($C$10=O$8,2,4))),"")</f>
        <v>#NUM!</v>
      </c>
      <c r="C20" s="117" t="e">
        <f t="shared" ca="1" si="0"/>
        <v>#NUM!</v>
      </c>
      <c r="D20" s="131" t="e">
        <f t="shared" ref="D20" ca="1" si="4">IF(B20="","",IF($C$13="krw",(TRUNC(($C$9*$E$9)/(IF($C$10=$O$9,1,IF($C$10=$O$8,2,4))),2)*$C$14),(TRUNC(($C$9*$E$9)/(IF($C$10=$O$9,1,IF($C$10=$O$8,2,4))),2))))</f>
        <v>#NUM!</v>
      </c>
      <c r="E20" s="131" t="e">
        <f ca="1">IF(B20="","",D20)</f>
        <v>#NUM!</v>
      </c>
      <c r="F20" s="137" t="e">
        <f ca="1">IF(B20="","",IF(E20&gt;R20,E20-R20,0))</f>
        <v>#NUM!</v>
      </c>
      <c r="G20" s="132" t="e">
        <f ca="1">IF(B20="","",IF($C$16="비과세(0%)",0,IF($C$16="표준(소득세14%+지방세)",ROUNDDOWN(F20*14%,2),ROUNDDOWN(F20*0%,-1))))</f>
        <v>#NUM!</v>
      </c>
      <c r="H20" s="132" t="e">
        <f ca="1">IF(B20="","",IF($C$16="비과세(0%)",0,IF($C$16="표준(소득세14%+지방세)",ROUNDDOWN(G20*10%,2),IF($E$4="개인",F20*1.4%,F20*2.8%))))</f>
        <v>#NUM!</v>
      </c>
      <c r="I20" s="131" t="e">
        <f t="shared" ref="I20" ca="1" si="5">IF(B20="","",D20-P20-G20-H20)</f>
        <v>#NUM!</v>
      </c>
      <c r="J20" s="66"/>
      <c r="K20" s="11"/>
      <c r="L20" s="11"/>
      <c r="M20" s="6" t="e">
        <f t="shared" ref="M20" ca="1" si="6">IF(B19&lt;$C$8,COUPNCD(M19,$C$8,IF($C$10=$O$9,1,IF($C$10=$O$8,2,4))),"")</f>
        <v>#NUM!</v>
      </c>
      <c r="N20" s="40" t="str">
        <f t="shared" ref="N20:N83" si="7">ROW()-18&amp;"기 보수"</f>
        <v>2기 보수</v>
      </c>
      <c r="O20" s="38" t="e">
        <f ca="1">S19</f>
        <v>#NUM!</v>
      </c>
      <c r="P20" s="38" t="e">
        <f ca="1">$I$7*$G$8/365*(_xlfn.DAYS(B20,M20))</f>
        <v>#NAME?</v>
      </c>
      <c r="Q20" s="38" t="e">
        <f ca="1">+T19+P20</f>
        <v>#NUM!</v>
      </c>
      <c r="R20" s="38" t="e">
        <f ca="1">+O20+Q20</f>
        <v>#NUM!</v>
      </c>
      <c r="S20" s="38" t="e">
        <f t="shared" ca="1" si="1"/>
        <v>#NUM!</v>
      </c>
      <c r="T20" s="38" t="e">
        <f t="shared" ca="1" si="2"/>
        <v>#NUM!</v>
      </c>
    </row>
    <row r="21" spans="1:20" ht="20.25" customHeight="1">
      <c r="A21" s="62"/>
      <c r="B21" s="6" t="e">
        <f t="shared" ref="B21:B84" ca="1" si="8">IF(B20&lt;$C$8,COUPNCD(B20,$C$8,IF($C$10=O$9,1,IF($C$10=O$8,2,4))),"")</f>
        <v>#NUM!</v>
      </c>
      <c r="C21" s="117" t="e">
        <f t="shared" ref="C21:C84" ca="1" si="9">IF(B21=$C$8,$E$9,"")</f>
        <v>#NUM!</v>
      </c>
      <c r="D21" s="131" t="e">
        <f t="shared" ref="D21:D84" ca="1" si="10">IF(B21="","",IF($C$13="krw",(TRUNC(($C$9*$E$9)/(IF($C$10=$O$9,1,IF($C$10=$O$8,2,4))),2)*$C$14),(TRUNC(($C$9*$E$9)/(IF($C$10=$O$9,1,IF($C$10=$O$8,2,4))),2))))</f>
        <v>#NUM!</v>
      </c>
      <c r="E21" s="131" t="e">
        <f t="shared" ref="E21:E84" ca="1" si="11">IF(B21="","",D21)</f>
        <v>#NUM!</v>
      </c>
      <c r="F21" s="137" t="e">
        <f t="shared" ref="F21:F84" ca="1" si="12">IF(B21="","",IF(E21&gt;R21,E21-R21,0))</f>
        <v>#NUM!</v>
      </c>
      <c r="G21" s="132" t="e">
        <f t="shared" ref="G21:G84" ca="1" si="13">IF(B21="","",IF($C$16="비과세(0%)",0,IF($C$16="표준(소득세14%+지방세)",ROUNDDOWN(F21*14%,2),ROUNDDOWN(F21*0%,-1))))</f>
        <v>#NUM!</v>
      </c>
      <c r="H21" s="132" t="e">
        <f t="shared" ref="H21:H84" ca="1" si="14">IF(B21="","",IF($C$16="비과세(0%)",0,IF($C$16="표준(소득세14%+지방세)",ROUNDDOWN(G21*10%,2),IF($E$4="개인",F21*1.4%,F21*2.8%))))</f>
        <v>#NUM!</v>
      </c>
      <c r="I21" s="131" t="e">
        <f t="shared" ref="I21:I84" ca="1" si="15">IF(B21="","",D21-P21-G21-H21)</f>
        <v>#NUM!</v>
      </c>
      <c r="J21" s="66"/>
      <c r="K21" s="11"/>
      <c r="L21" s="11"/>
      <c r="M21" s="6" t="e">
        <f t="shared" ref="M21:M84" ca="1" si="16">IF(B20&lt;$C$8,COUPNCD(M20,$C$8,IF($C$10=$O$9,1,IF($C$10=$O$8,2,4))),"")</f>
        <v>#NUM!</v>
      </c>
      <c r="N21" s="40" t="str">
        <f t="shared" si="7"/>
        <v>3기 보수</v>
      </c>
      <c r="O21" s="38" t="e">
        <f t="shared" ref="O21:O84" ca="1" si="17">S20</f>
        <v>#NUM!</v>
      </c>
      <c r="P21" s="38" t="e">
        <f t="shared" ref="P21:P84" ca="1" si="18">$I$7*$G$8/365*(_xlfn.DAYS(B21,M21))</f>
        <v>#NAME?</v>
      </c>
      <c r="Q21" s="38" t="e">
        <f t="shared" ref="Q21:Q84" ca="1" si="19">+T20+P21</f>
        <v>#NUM!</v>
      </c>
      <c r="R21" s="38" t="e">
        <f t="shared" ref="R21:R84" ca="1" si="20">+O21+Q21</f>
        <v>#NUM!</v>
      </c>
      <c r="S21" s="38" t="e">
        <f t="shared" ref="S21:S84" ca="1" si="21">IF(E21&lt;O21,O21-E21,0)</f>
        <v>#NUM!</v>
      </c>
      <c r="T21" s="38" t="e">
        <f t="shared" ref="T21:T84" ca="1" si="22">IF(S21&gt;0,Q21,IF(E21&gt;R21,0,Q21-(E21-O21)))</f>
        <v>#NUM!</v>
      </c>
    </row>
    <row r="22" spans="1:20" ht="20.25" customHeight="1">
      <c r="A22" s="62"/>
      <c r="B22" s="6" t="e">
        <f t="shared" ca="1" si="8"/>
        <v>#NUM!</v>
      </c>
      <c r="C22" s="117" t="e">
        <f t="shared" ca="1" si="9"/>
        <v>#NUM!</v>
      </c>
      <c r="D22" s="131" t="e">
        <f t="shared" ca="1" si="10"/>
        <v>#NUM!</v>
      </c>
      <c r="E22" s="131" t="e">
        <f t="shared" ca="1" si="11"/>
        <v>#NUM!</v>
      </c>
      <c r="F22" s="137" t="e">
        <f t="shared" ca="1" si="12"/>
        <v>#NUM!</v>
      </c>
      <c r="G22" s="132" t="e">
        <f t="shared" ca="1" si="13"/>
        <v>#NUM!</v>
      </c>
      <c r="H22" s="132" t="e">
        <f t="shared" ca="1" si="14"/>
        <v>#NUM!</v>
      </c>
      <c r="I22" s="131" t="e">
        <f t="shared" ca="1" si="15"/>
        <v>#NUM!</v>
      </c>
      <c r="J22" s="66"/>
      <c r="K22" s="11"/>
      <c r="L22" s="11"/>
      <c r="M22" s="6" t="e">
        <f t="shared" ca="1" si="16"/>
        <v>#NUM!</v>
      </c>
      <c r="N22" s="40" t="str">
        <f t="shared" si="7"/>
        <v>4기 보수</v>
      </c>
      <c r="O22" s="38" t="e">
        <f t="shared" ca="1" si="17"/>
        <v>#NUM!</v>
      </c>
      <c r="P22" s="38" t="e">
        <f t="shared" ca="1" si="18"/>
        <v>#NAME?</v>
      </c>
      <c r="Q22" s="38" t="e">
        <f t="shared" ca="1" si="19"/>
        <v>#NUM!</v>
      </c>
      <c r="R22" s="38" t="e">
        <f t="shared" ca="1" si="20"/>
        <v>#NUM!</v>
      </c>
      <c r="S22" s="38" t="e">
        <f t="shared" ca="1" si="21"/>
        <v>#NUM!</v>
      </c>
      <c r="T22" s="38" t="e">
        <f t="shared" ca="1" si="22"/>
        <v>#NUM!</v>
      </c>
    </row>
    <row r="23" spans="1:20" ht="20.25" customHeight="1">
      <c r="A23" s="62"/>
      <c r="B23" s="6" t="e">
        <f t="shared" ca="1" si="8"/>
        <v>#NUM!</v>
      </c>
      <c r="C23" s="117" t="e">
        <f t="shared" ca="1" si="9"/>
        <v>#NUM!</v>
      </c>
      <c r="D23" s="131" t="e">
        <f t="shared" ca="1" si="10"/>
        <v>#NUM!</v>
      </c>
      <c r="E23" s="131" t="e">
        <f t="shared" ca="1" si="11"/>
        <v>#NUM!</v>
      </c>
      <c r="F23" s="137" t="e">
        <f t="shared" ca="1" si="12"/>
        <v>#NUM!</v>
      </c>
      <c r="G23" s="132" t="e">
        <f t="shared" ca="1" si="13"/>
        <v>#NUM!</v>
      </c>
      <c r="H23" s="132" t="e">
        <f t="shared" ca="1" si="14"/>
        <v>#NUM!</v>
      </c>
      <c r="I23" s="131" t="e">
        <f t="shared" ca="1" si="15"/>
        <v>#NUM!</v>
      </c>
      <c r="J23" s="66"/>
      <c r="K23" s="11"/>
      <c r="L23" s="11"/>
      <c r="M23" s="6" t="e">
        <f t="shared" ca="1" si="16"/>
        <v>#NUM!</v>
      </c>
      <c r="N23" s="40" t="str">
        <f t="shared" si="7"/>
        <v>5기 보수</v>
      </c>
      <c r="O23" s="38" t="e">
        <f t="shared" ca="1" si="17"/>
        <v>#NUM!</v>
      </c>
      <c r="P23" s="38" t="e">
        <f t="shared" ca="1" si="18"/>
        <v>#NAME?</v>
      </c>
      <c r="Q23" s="38" t="e">
        <f t="shared" ca="1" si="19"/>
        <v>#NUM!</v>
      </c>
      <c r="R23" s="38" t="e">
        <f t="shared" ca="1" si="20"/>
        <v>#NUM!</v>
      </c>
      <c r="S23" s="38" t="e">
        <f t="shared" ca="1" si="21"/>
        <v>#NUM!</v>
      </c>
      <c r="T23" s="38" t="e">
        <f t="shared" ca="1" si="22"/>
        <v>#NUM!</v>
      </c>
    </row>
    <row r="24" spans="1:20" ht="20.25" customHeight="1">
      <c r="A24" s="62"/>
      <c r="B24" s="6" t="e">
        <f t="shared" ca="1" si="8"/>
        <v>#NUM!</v>
      </c>
      <c r="C24" s="117" t="e">
        <f t="shared" ca="1" si="9"/>
        <v>#NUM!</v>
      </c>
      <c r="D24" s="131" t="e">
        <f t="shared" ca="1" si="10"/>
        <v>#NUM!</v>
      </c>
      <c r="E24" s="131" t="e">
        <f t="shared" ca="1" si="11"/>
        <v>#NUM!</v>
      </c>
      <c r="F24" s="137" t="e">
        <f t="shared" ca="1" si="12"/>
        <v>#NUM!</v>
      </c>
      <c r="G24" s="132" t="e">
        <f t="shared" ca="1" si="13"/>
        <v>#NUM!</v>
      </c>
      <c r="H24" s="132" t="e">
        <f t="shared" ca="1" si="14"/>
        <v>#NUM!</v>
      </c>
      <c r="I24" s="131" t="e">
        <f t="shared" ca="1" si="15"/>
        <v>#NUM!</v>
      </c>
      <c r="J24" s="66"/>
      <c r="K24" s="11"/>
      <c r="L24" s="11"/>
      <c r="M24" s="6" t="e">
        <f t="shared" ca="1" si="16"/>
        <v>#NUM!</v>
      </c>
      <c r="N24" s="40" t="str">
        <f t="shared" si="7"/>
        <v>6기 보수</v>
      </c>
      <c r="O24" s="38" t="e">
        <f t="shared" ca="1" si="17"/>
        <v>#NUM!</v>
      </c>
      <c r="P24" s="38" t="e">
        <f t="shared" ca="1" si="18"/>
        <v>#NAME?</v>
      </c>
      <c r="Q24" s="38" t="e">
        <f t="shared" ca="1" si="19"/>
        <v>#NUM!</v>
      </c>
      <c r="R24" s="38" t="e">
        <f t="shared" ca="1" si="20"/>
        <v>#NUM!</v>
      </c>
      <c r="S24" s="38" t="e">
        <f t="shared" ca="1" si="21"/>
        <v>#NUM!</v>
      </c>
      <c r="T24" s="38" t="e">
        <f t="shared" ca="1" si="22"/>
        <v>#NUM!</v>
      </c>
    </row>
    <row r="25" spans="1:20" ht="20.25" customHeight="1">
      <c r="A25" s="62"/>
      <c r="B25" s="6" t="e">
        <f t="shared" ca="1" si="8"/>
        <v>#NUM!</v>
      </c>
      <c r="C25" s="117" t="e">
        <f t="shared" ca="1" si="9"/>
        <v>#NUM!</v>
      </c>
      <c r="D25" s="131" t="e">
        <f t="shared" ca="1" si="10"/>
        <v>#NUM!</v>
      </c>
      <c r="E25" s="131" t="e">
        <f t="shared" ca="1" si="11"/>
        <v>#NUM!</v>
      </c>
      <c r="F25" s="137" t="e">
        <f t="shared" ca="1" si="12"/>
        <v>#NUM!</v>
      </c>
      <c r="G25" s="132" t="e">
        <f t="shared" ca="1" si="13"/>
        <v>#NUM!</v>
      </c>
      <c r="H25" s="132" t="e">
        <f t="shared" ca="1" si="14"/>
        <v>#NUM!</v>
      </c>
      <c r="I25" s="131" t="e">
        <f t="shared" ca="1" si="15"/>
        <v>#NUM!</v>
      </c>
      <c r="J25" s="66"/>
      <c r="K25" s="11"/>
      <c r="L25" s="11"/>
      <c r="M25" s="6" t="e">
        <f t="shared" ca="1" si="16"/>
        <v>#NUM!</v>
      </c>
      <c r="N25" s="40" t="str">
        <f t="shared" si="7"/>
        <v>7기 보수</v>
      </c>
      <c r="O25" s="38" t="e">
        <f t="shared" ca="1" si="17"/>
        <v>#NUM!</v>
      </c>
      <c r="P25" s="38" t="e">
        <f t="shared" ca="1" si="18"/>
        <v>#NAME?</v>
      </c>
      <c r="Q25" s="38" t="e">
        <f t="shared" ca="1" si="19"/>
        <v>#NUM!</v>
      </c>
      <c r="R25" s="38" t="e">
        <f t="shared" ca="1" si="20"/>
        <v>#NUM!</v>
      </c>
      <c r="S25" s="38" t="e">
        <f t="shared" ca="1" si="21"/>
        <v>#NUM!</v>
      </c>
      <c r="T25" s="38" t="e">
        <f t="shared" ca="1" si="22"/>
        <v>#NUM!</v>
      </c>
    </row>
    <row r="26" spans="1:20" ht="20.25" customHeight="1">
      <c r="A26" s="62"/>
      <c r="B26" s="6" t="e">
        <f t="shared" ca="1" si="8"/>
        <v>#NUM!</v>
      </c>
      <c r="C26" s="117" t="e">
        <f t="shared" ca="1" si="9"/>
        <v>#NUM!</v>
      </c>
      <c r="D26" s="131" t="e">
        <f t="shared" ca="1" si="10"/>
        <v>#NUM!</v>
      </c>
      <c r="E26" s="131" t="e">
        <f t="shared" ca="1" si="11"/>
        <v>#NUM!</v>
      </c>
      <c r="F26" s="137" t="e">
        <f t="shared" ca="1" si="12"/>
        <v>#NUM!</v>
      </c>
      <c r="G26" s="132" t="e">
        <f t="shared" ca="1" si="13"/>
        <v>#NUM!</v>
      </c>
      <c r="H26" s="132" t="e">
        <f t="shared" ca="1" si="14"/>
        <v>#NUM!</v>
      </c>
      <c r="I26" s="131" t="e">
        <f t="shared" ca="1" si="15"/>
        <v>#NUM!</v>
      </c>
      <c r="J26" s="66"/>
      <c r="K26" s="11"/>
      <c r="L26" s="11"/>
      <c r="M26" s="6" t="e">
        <f t="shared" ca="1" si="16"/>
        <v>#NUM!</v>
      </c>
      <c r="N26" s="40" t="str">
        <f t="shared" si="7"/>
        <v>8기 보수</v>
      </c>
      <c r="O26" s="38" t="e">
        <f t="shared" ca="1" si="17"/>
        <v>#NUM!</v>
      </c>
      <c r="P26" s="38" t="e">
        <f t="shared" ca="1" si="18"/>
        <v>#NAME?</v>
      </c>
      <c r="Q26" s="38" t="e">
        <f t="shared" ca="1" si="19"/>
        <v>#NUM!</v>
      </c>
      <c r="R26" s="38" t="e">
        <f t="shared" ca="1" si="20"/>
        <v>#NUM!</v>
      </c>
      <c r="S26" s="38" t="e">
        <f t="shared" ca="1" si="21"/>
        <v>#NUM!</v>
      </c>
      <c r="T26" s="38" t="e">
        <f t="shared" ca="1" si="22"/>
        <v>#NUM!</v>
      </c>
    </row>
    <row r="27" spans="1:20" ht="20.25" customHeight="1">
      <c r="A27" s="62"/>
      <c r="B27" s="6" t="e">
        <f t="shared" ca="1" si="8"/>
        <v>#NUM!</v>
      </c>
      <c r="C27" s="117" t="e">
        <f t="shared" ca="1" si="9"/>
        <v>#NUM!</v>
      </c>
      <c r="D27" s="131" t="e">
        <f t="shared" ca="1" si="10"/>
        <v>#NUM!</v>
      </c>
      <c r="E27" s="131" t="e">
        <f t="shared" ca="1" si="11"/>
        <v>#NUM!</v>
      </c>
      <c r="F27" s="137" t="e">
        <f t="shared" ca="1" si="12"/>
        <v>#NUM!</v>
      </c>
      <c r="G27" s="132" t="e">
        <f t="shared" ca="1" si="13"/>
        <v>#NUM!</v>
      </c>
      <c r="H27" s="132" t="e">
        <f t="shared" ca="1" si="14"/>
        <v>#NUM!</v>
      </c>
      <c r="I27" s="131" t="e">
        <f t="shared" ca="1" si="15"/>
        <v>#NUM!</v>
      </c>
      <c r="J27" s="66"/>
      <c r="K27" s="11"/>
      <c r="L27" s="11"/>
      <c r="M27" s="6" t="e">
        <f t="shared" ca="1" si="16"/>
        <v>#NUM!</v>
      </c>
      <c r="N27" s="40" t="str">
        <f t="shared" si="7"/>
        <v>9기 보수</v>
      </c>
      <c r="O27" s="38" t="e">
        <f t="shared" ca="1" si="17"/>
        <v>#NUM!</v>
      </c>
      <c r="P27" s="38" t="e">
        <f t="shared" ca="1" si="18"/>
        <v>#NAME?</v>
      </c>
      <c r="Q27" s="38" t="e">
        <f t="shared" ca="1" si="19"/>
        <v>#NUM!</v>
      </c>
      <c r="R27" s="38" t="e">
        <f t="shared" ca="1" si="20"/>
        <v>#NUM!</v>
      </c>
      <c r="S27" s="38" t="e">
        <f t="shared" ca="1" si="21"/>
        <v>#NUM!</v>
      </c>
      <c r="T27" s="38" t="e">
        <f t="shared" ca="1" si="22"/>
        <v>#NUM!</v>
      </c>
    </row>
    <row r="28" spans="1:20" ht="20.25" customHeight="1">
      <c r="A28" s="62"/>
      <c r="B28" s="6" t="e">
        <f t="shared" ca="1" si="8"/>
        <v>#NUM!</v>
      </c>
      <c r="C28" s="117" t="e">
        <f t="shared" ca="1" si="9"/>
        <v>#NUM!</v>
      </c>
      <c r="D28" s="131" t="e">
        <f t="shared" ca="1" si="10"/>
        <v>#NUM!</v>
      </c>
      <c r="E28" s="131" t="e">
        <f t="shared" ca="1" si="11"/>
        <v>#NUM!</v>
      </c>
      <c r="F28" s="137" t="e">
        <f t="shared" ca="1" si="12"/>
        <v>#NUM!</v>
      </c>
      <c r="G28" s="132" t="e">
        <f t="shared" ca="1" si="13"/>
        <v>#NUM!</v>
      </c>
      <c r="H28" s="132" t="e">
        <f t="shared" ca="1" si="14"/>
        <v>#NUM!</v>
      </c>
      <c r="I28" s="131" t="e">
        <f t="shared" ca="1" si="15"/>
        <v>#NUM!</v>
      </c>
      <c r="J28" s="66"/>
      <c r="K28" s="11"/>
      <c r="L28" s="11"/>
      <c r="M28" s="6" t="e">
        <f t="shared" ca="1" si="16"/>
        <v>#NUM!</v>
      </c>
      <c r="N28" s="40" t="str">
        <f t="shared" si="7"/>
        <v>10기 보수</v>
      </c>
      <c r="O28" s="38" t="e">
        <f t="shared" ca="1" si="17"/>
        <v>#NUM!</v>
      </c>
      <c r="P28" s="38" t="e">
        <f t="shared" ca="1" si="18"/>
        <v>#NAME?</v>
      </c>
      <c r="Q28" s="38" t="e">
        <f t="shared" ca="1" si="19"/>
        <v>#NUM!</v>
      </c>
      <c r="R28" s="38" t="e">
        <f t="shared" ca="1" si="20"/>
        <v>#NUM!</v>
      </c>
      <c r="S28" s="38" t="e">
        <f t="shared" ca="1" si="21"/>
        <v>#NUM!</v>
      </c>
      <c r="T28" s="38" t="e">
        <f t="shared" ca="1" si="22"/>
        <v>#NUM!</v>
      </c>
    </row>
    <row r="29" spans="1:20" ht="20.25" customHeight="1">
      <c r="A29" s="62"/>
      <c r="B29" s="6" t="e">
        <f t="shared" ca="1" si="8"/>
        <v>#NUM!</v>
      </c>
      <c r="C29" s="117" t="e">
        <f t="shared" ca="1" si="9"/>
        <v>#NUM!</v>
      </c>
      <c r="D29" s="131" t="e">
        <f t="shared" ca="1" si="10"/>
        <v>#NUM!</v>
      </c>
      <c r="E29" s="131" t="e">
        <f t="shared" ca="1" si="11"/>
        <v>#NUM!</v>
      </c>
      <c r="F29" s="137" t="e">
        <f t="shared" ca="1" si="12"/>
        <v>#NUM!</v>
      </c>
      <c r="G29" s="132" t="e">
        <f t="shared" ca="1" si="13"/>
        <v>#NUM!</v>
      </c>
      <c r="H29" s="132" t="e">
        <f t="shared" ca="1" si="14"/>
        <v>#NUM!</v>
      </c>
      <c r="I29" s="131" t="e">
        <f t="shared" ca="1" si="15"/>
        <v>#NUM!</v>
      </c>
      <c r="J29" s="66"/>
      <c r="K29" s="11"/>
      <c r="L29" s="11"/>
      <c r="M29" s="6" t="e">
        <f t="shared" ca="1" si="16"/>
        <v>#NUM!</v>
      </c>
      <c r="N29" s="40" t="str">
        <f t="shared" si="7"/>
        <v>11기 보수</v>
      </c>
      <c r="O29" s="38" t="e">
        <f t="shared" ca="1" si="17"/>
        <v>#NUM!</v>
      </c>
      <c r="P29" s="38" t="e">
        <f t="shared" ca="1" si="18"/>
        <v>#NAME?</v>
      </c>
      <c r="Q29" s="38" t="e">
        <f t="shared" ca="1" si="19"/>
        <v>#NUM!</v>
      </c>
      <c r="R29" s="38" t="e">
        <f t="shared" ca="1" si="20"/>
        <v>#NUM!</v>
      </c>
      <c r="S29" s="38" t="e">
        <f t="shared" ca="1" si="21"/>
        <v>#NUM!</v>
      </c>
      <c r="T29" s="38" t="e">
        <f t="shared" ca="1" si="22"/>
        <v>#NUM!</v>
      </c>
    </row>
    <row r="30" spans="1:20" ht="20.25" customHeight="1">
      <c r="A30" s="62"/>
      <c r="B30" s="6" t="e">
        <f t="shared" ca="1" si="8"/>
        <v>#NUM!</v>
      </c>
      <c r="C30" s="117" t="e">
        <f t="shared" ca="1" si="9"/>
        <v>#NUM!</v>
      </c>
      <c r="D30" s="131" t="e">
        <f t="shared" ca="1" si="10"/>
        <v>#NUM!</v>
      </c>
      <c r="E30" s="131" t="e">
        <f t="shared" ca="1" si="11"/>
        <v>#NUM!</v>
      </c>
      <c r="F30" s="137" t="e">
        <f t="shared" ca="1" si="12"/>
        <v>#NUM!</v>
      </c>
      <c r="G30" s="132" t="e">
        <f t="shared" ca="1" si="13"/>
        <v>#NUM!</v>
      </c>
      <c r="H30" s="132" t="e">
        <f t="shared" ca="1" si="14"/>
        <v>#NUM!</v>
      </c>
      <c r="I30" s="131" t="e">
        <f t="shared" ca="1" si="15"/>
        <v>#NUM!</v>
      </c>
      <c r="J30" s="66"/>
      <c r="K30" s="11"/>
      <c r="L30" s="11"/>
      <c r="M30" s="6" t="e">
        <f t="shared" ca="1" si="16"/>
        <v>#NUM!</v>
      </c>
      <c r="N30" s="40" t="str">
        <f t="shared" si="7"/>
        <v>12기 보수</v>
      </c>
      <c r="O30" s="38" t="e">
        <f t="shared" ca="1" si="17"/>
        <v>#NUM!</v>
      </c>
      <c r="P30" s="38" t="e">
        <f t="shared" ca="1" si="18"/>
        <v>#NAME?</v>
      </c>
      <c r="Q30" s="38" t="e">
        <f t="shared" ca="1" si="19"/>
        <v>#NUM!</v>
      </c>
      <c r="R30" s="38" t="e">
        <f t="shared" ca="1" si="20"/>
        <v>#NUM!</v>
      </c>
      <c r="S30" s="38" t="e">
        <f t="shared" ca="1" si="21"/>
        <v>#NUM!</v>
      </c>
      <c r="T30" s="38" t="e">
        <f t="shared" ca="1" si="22"/>
        <v>#NUM!</v>
      </c>
    </row>
    <row r="31" spans="1:20" ht="20.25" customHeight="1">
      <c r="A31" s="62"/>
      <c r="B31" s="6" t="e">
        <f t="shared" ca="1" si="8"/>
        <v>#NUM!</v>
      </c>
      <c r="C31" s="117" t="e">
        <f t="shared" ca="1" si="9"/>
        <v>#NUM!</v>
      </c>
      <c r="D31" s="131" t="e">
        <f t="shared" ca="1" si="10"/>
        <v>#NUM!</v>
      </c>
      <c r="E31" s="131" t="e">
        <f t="shared" ca="1" si="11"/>
        <v>#NUM!</v>
      </c>
      <c r="F31" s="137" t="e">
        <f t="shared" ca="1" si="12"/>
        <v>#NUM!</v>
      </c>
      <c r="G31" s="132" t="e">
        <f t="shared" ca="1" si="13"/>
        <v>#NUM!</v>
      </c>
      <c r="H31" s="132" t="e">
        <f t="shared" ca="1" si="14"/>
        <v>#NUM!</v>
      </c>
      <c r="I31" s="131" t="e">
        <f t="shared" ca="1" si="15"/>
        <v>#NUM!</v>
      </c>
      <c r="J31" s="66"/>
      <c r="K31" s="11"/>
      <c r="L31" s="11"/>
      <c r="M31" s="6" t="e">
        <f t="shared" ca="1" si="16"/>
        <v>#NUM!</v>
      </c>
      <c r="N31" s="40" t="str">
        <f t="shared" si="7"/>
        <v>13기 보수</v>
      </c>
      <c r="O31" s="38" t="e">
        <f t="shared" ca="1" si="17"/>
        <v>#NUM!</v>
      </c>
      <c r="P31" s="38" t="e">
        <f t="shared" ca="1" si="18"/>
        <v>#NAME?</v>
      </c>
      <c r="Q31" s="38" t="e">
        <f t="shared" ca="1" si="19"/>
        <v>#NUM!</v>
      </c>
      <c r="R31" s="38" t="e">
        <f t="shared" ca="1" si="20"/>
        <v>#NUM!</v>
      </c>
      <c r="S31" s="38" t="e">
        <f t="shared" ca="1" si="21"/>
        <v>#NUM!</v>
      </c>
      <c r="T31" s="38" t="e">
        <f t="shared" ca="1" si="22"/>
        <v>#NUM!</v>
      </c>
    </row>
    <row r="32" spans="1:20" ht="20.25" customHeight="1">
      <c r="A32" s="62"/>
      <c r="B32" s="6" t="e">
        <f t="shared" ca="1" si="8"/>
        <v>#NUM!</v>
      </c>
      <c r="C32" s="117" t="e">
        <f t="shared" ca="1" si="9"/>
        <v>#NUM!</v>
      </c>
      <c r="D32" s="131" t="e">
        <f t="shared" ca="1" si="10"/>
        <v>#NUM!</v>
      </c>
      <c r="E32" s="131" t="e">
        <f t="shared" ca="1" si="11"/>
        <v>#NUM!</v>
      </c>
      <c r="F32" s="137" t="e">
        <f t="shared" ca="1" si="12"/>
        <v>#NUM!</v>
      </c>
      <c r="G32" s="132" t="e">
        <f t="shared" ca="1" si="13"/>
        <v>#NUM!</v>
      </c>
      <c r="H32" s="132" t="e">
        <f t="shared" ca="1" si="14"/>
        <v>#NUM!</v>
      </c>
      <c r="I32" s="131" t="e">
        <f t="shared" ca="1" si="15"/>
        <v>#NUM!</v>
      </c>
      <c r="J32" s="66"/>
      <c r="K32" s="11"/>
      <c r="L32" s="11"/>
      <c r="M32" s="6" t="e">
        <f t="shared" ca="1" si="16"/>
        <v>#NUM!</v>
      </c>
      <c r="N32" s="40" t="str">
        <f t="shared" si="7"/>
        <v>14기 보수</v>
      </c>
      <c r="O32" s="38" t="e">
        <f t="shared" ca="1" si="17"/>
        <v>#NUM!</v>
      </c>
      <c r="P32" s="38" t="e">
        <f t="shared" ca="1" si="18"/>
        <v>#NAME?</v>
      </c>
      <c r="Q32" s="38" t="e">
        <f t="shared" ca="1" si="19"/>
        <v>#NUM!</v>
      </c>
      <c r="R32" s="38" t="e">
        <f t="shared" ca="1" si="20"/>
        <v>#NUM!</v>
      </c>
      <c r="S32" s="38" t="e">
        <f t="shared" ca="1" si="21"/>
        <v>#NUM!</v>
      </c>
      <c r="T32" s="38" t="e">
        <f t="shared" ca="1" si="22"/>
        <v>#NUM!</v>
      </c>
    </row>
    <row r="33" spans="1:20" ht="20.25" customHeight="1">
      <c r="A33" s="62"/>
      <c r="B33" s="6" t="e">
        <f t="shared" ca="1" si="8"/>
        <v>#NUM!</v>
      </c>
      <c r="C33" s="117" t="e">
        <f t="shared" ca="1" si="9"/>
        <v>#NUM!</v>
      </c>
      <c r="D33" s="131" t="e">
        <f t="shared" ca="1" si="10"/>
        <v>#NUM!</v>
      </c>
      <c r="E33" s="131" t="e">
        <f t="shared" ca="1" si="11"/>
        <v>#NUM!</v>
      </c>
      <c r="F33" s="137" t="e">
        <f t="shared" ca="1" si="12"/>
        <v>#NUM!</v>
      </c>
      <c r="G33" s="132" t="e">
        <f t="shared" ca="1" si="13"/>
        <v>#NUM!</v>
      </c>
      <c r="H33" s="132" t="e">
        <f t="shared" ca="1" si="14"/>
        <v>#NUM!</v>
      </c>
      <c r="I33" s="131" t="e">
        <f t="shared" ca="1" si="15"/>
        <v>#NUM!</v>
      </c>
      <c r="J33" s="66"/>
      <c r="K33" s="11"/>
      <c r="L33" s="11"/>
      <c r="M33" s="6" t="e">
        <f t="shared" ca="1" si="16"/>
        <v>#NUM!</v>
      </c>
      <c r="N33" s="40" t="str">
        <f t="shared" si="7"/>
        <v>15기 보수</v>
      </c>
      <c r="O33" s="38" t="e">
        <f t="shared" ca="1" si="17"/>
        <v>#NUM!</v>
      </c>
      <c r="P33" s="38" t="e">
        <f t="shared" ca="1" si="18"/>
        <v>#NAME?</v>
      </c>
      <c r="Q33" s="38" t="e">
        <f t="shared" ca="1" si="19"/>
        <v>#NUM!</v>
      </c>
      <c r="R33" s="38" t="e">
        <f t="shared" ca="1" si="20"/>
        <v>#NUM!</v>
      </c>
      <c r="S33" s="38" t="e">
        <f t="shared" ca="1" si="21"/>
        <v>#NUM!</v>
      </c>
      <c r="T33" s="38" t="e">
        <f t="shared" ca="1" si="22"/>
        <v>#NUM!</v>
      </c>
    </row>
    <row r="34" spans="1:20" ht="20.25" customHeight="1">
      <c r="A34" s="62"/>
      <c r="B34" s="6" t="e">
        <f t="shared" ca="1" si="8"/>
        <v>#NUM!</v>
      </c>
      <c r="C34" s="117" t="e">
        <f t="shared" ca="1" si="9"/>
        <v>#NUM!</v>
      </c>
      <c r="D34" s="131" t="e">
        <f t="shared" ca="1" si="10"/>
        <v>#NUM!</v>
      </c>
      <c r="E34" s="131" t="e">
        <f t="shared" ca="1" si="11"/>
        <v>#NUM!</v>
      </c>
      <c r="F34" s="137" t="e">
        <f t="shared" ca="1" si="12"/>
        <v>#NUM!</v>
      </c>
      <c r="G34" s="132" t="e">
        <f t="shared" ca="1" si="13"/>
        <v>#NUM!</v>
      </c>
      <c r="H34" s="132" t="e">
        <f t="shared" ca="1" si="14"/>
        <v>#NUM!</v>
      </c>
      <c r="I34" s="131" t="e">
        <f t="shared" ca="1" si="15"/>
        <v>#NUM!</v>
      </c>
      <c r="J34" s="66"/>
      <c r="K34" s="11"/>
      <c r="L34" s="11"/>
      <c r="M34" s="6" t="e">
        <f t="shared" ca="1" si="16"/>
        <v>#NUM!</v>
      </c>
      <c r="N34" s="40" t="str">
        <f t="shared" si="7"/>
        <v>16기 보수</v>
      </c>
      <c r="O34" s="38" t="e">
        <f t="shared" ca="1" si="17"/>
        <v>#NUM!</v>
      </c>
      <c r="P34" s="38" t="e">
        <f t="shared" ca="1" si="18"/>
        <v>#NAME?</v>
      </c>
      <c r="Q34" s="38" t="e">
        <f t="shared" ca="1" si="19"/>
        <v>#NUM!</v>
      </c>
      <c r="R34" s="38" t="e">
        <f t="shared" ca="1" si="20"/>
        <v>#NUM!</v>
      </c>
      <c r="S34" s="38" t="e">
        <f t="shared" ca="1" si="21"/>
        <v>#NUM!</v>
      </c>
      <c r="T34" s="38" t="e">
        <f t="shared" ca="1" si="22"/>
        <v>#NUM!</v>
      </c>
    </row>
    <row r="35" spans="1:20" ht="20.25" customHeight="1">
      <c r="A35" s="62"/>
      <c r="B35" s="6" t="e">
        <f t="shared" ca="1" si="8"/>
        <v>#NUM!</v>
      </c>
      <c r="C35" s="117" t="e">
        <f t="shared" ca="1" si="9"/>
        <v>#NUM!</v>
      </c>
      <c r="D35" s="131" t="e">
        <f t="shared" ca="1" si="10"/>
        <v>#NUM!</v>
      </c>
      <c r="E35" s="131" t="e">
        <f t="shared" ca="1" si="11"/>
        <v>#NUM!</v>
      </c>
      <c r="F35" s="137" t="e">
        <f t="shared" ca="1" si="12"/>
        <v>#NUM!</v>
      </c>
      <c r="G35" s="132" t="e">
        <f t="shared" ca="1" si="13"/>
        <v>#NUM!</v>
      </c>
      <c r="H35" s="132" t="e">
        <f t="shared" ca="1" si="14"/>
        <v>#NUM!</v>
      </c>
      <c r="I35" s="131" t="e">
        <f t="shared" ca="1" si="15"/>
        <v>#NUM!</v>
      </c>
      <c r="J35" s="66"/>
      <c r="K35" s="11"/>
      <c r="L35" s="11"/>
      <c r="M35" s="6" t="e">
        <f t="shared" ca="1" si="16"/>
        <v>#NUM!</v>
      </c>
      <c r="N35" s="40" t="str">
        <f t="shared" si="7"/>
        <v>17기 보수</v>
      </c>
      <c r="O35" s="38" t="e">
        <f t="shared" ca="1" si="17"/>
        <v>#NUM!</v>
      </c>
      <c r="P35" s="38" t="e">
        <f t="shared" ca="1" si="18"/>
        <v>#NAME?</v>
      </c>
      <c r="Q35" s="38" t="e">
        <f t="shared" ca="1" si="19"/>
        <v>#NUM!</v>
      </c>
      <c r="R35" s="38" t="e">
        <f t="shared" ca="1" si="20"/>
        <v>#NUM!</v>
      </c>
      <c r="S35" s="38" t="e">
        <f t="shared" ca="1" si="21"/>
        <v>#NUM!</v>
      </c>
      <c r="T35" s="38" t="e">
        <f t="shared" ca="1" si="22"/>
        <v>#NUM!</v>
      </c>
    </row>
    <row r="36" spans="1:20" ht="20.25" customHeight="1">
      <c r="A36" s="62"/>
      <c r="B36" s="6" t="e">
        <f t="shared" ca="1" si="8"/>
        <v>#NUM!</v>
      </c>
      <c r="C36" s="117" t="e">
        <f t="shared" ca="1" si="9"/>
        <v>#NUM!</v>
      </c>
      <c r="D36" s="131" t="e">
        <f t="shared" ca="1" si="10"/>
        <v>#NUM!</v>
      </c>
      <c r="E36" s="131" t="e">
        <f t="shared" ca="1" si="11"/>
        <v>#NUM!</v>
      </c>
      <c r="F36" s="137" t="e">
        <f t="shared" ca="1" si="12"/>
        <v>#NUM!</v>
      </c>
      <c r="G36" s="132" t="e">
        <f t="shared" ca="1" si="13"/>
        <v>#NUM!</v>
      </c>
      <c r="H36" s="132" t="e">
        <f t="shared" ca="1" si="14"/>
        <v>#NUM!</v>
      </c>
      <c r="I36" s="131" t="e">
        <f t="shared" ca="1" si="15"/>
        <v>#NUM!</v>
      </c>
      <c r="J36" s="66"/>
      <c r="K36" s="11"/>
      <c r="L36" s="11"/>
      <c r="M36" s="6" t="e">
        <f t="shared" ca="1" si="16"/>
        <v>#NUM!</v>
      </c>
      <c r="N36" s="40" t="str">
        <f t="shared" si="7"/>
        <v>18기 보수</v>
      </c>
      <c r="O36" s="38" t="e">
        <f t="shared" ca="1" si="17"/>
        <v>#NUM!</v>
      </c>
      <c r="P36" s="38" t="e">
        <f t="shared" ca="1" si="18"/>
        <v>#NAME?</v>
      </c>
      <c r="Q36" s="38" t="e">
        <f t="shared" ca="1" si="19"/>
        <v>#NUM!</v>
      </c>
      <c r="R36" s="38" t="e">
        <f t="shared" ca="1" si="20"/>
        <v>#NUM!</v>
      </c>
      <c r="S36" s="38" t="e">
        <f t="shared" ca="1" si="21"/>
        <v>#NUM!</v>
      </c>
      <c r="T36" s="38" t="e">
        <f t="shared" ca="1" si="22"/>
        <v>#NUM!</v>
      </c>
    </row>
    <row r="37" spans="1:20" ht="20.25" customHeight="1">
      <c r="A37" s="62"/>
      <c r="B37" s="6" t="e">
        <f t="shared" ca="1" si="8"/>
        <v>#NUM!</v>
      </c>
      <c r="C37" s="117" t="e">
        <f t="shared" ca="1" si="9"/>
        <v>#NUM!</v>
      </c>
      <c r="D37" s="131" t="e">
        <f t="shared" ca="1" si="10"/>
        <v>#NUM!</v>
      </c>
      <c r="E37" s="131" t="e">
        <f t="shared" ca="1" si="11"/>
        <v>#NUM!</v>
      </c>
      <c r="F37" s="137" t="e">
        <f t="shared" ca="1" si="12"/>
        <v>#NUM!</v>
      </c>
      <c r="G37" s="132" t="e">
        <f t="shared" ca="1" si="13"/>
        <v>#NUM!</v>
      </c>
      <c r="H37" s="132" t="e">
        <f t="shared" ca="1" si="14"/>
        <v>#NUM!</v>
      </c>
      <c r="I37" s="131" t="e">
        <f t="shared" ca="1" si="15"/>
        <v>#NUM!</v>
      </c>
      <c r="J37" s="66"/>
      <c r="K37" s="11"/>
      <c r="L37" s="11"/>
      <c r="M37" s="6" t="e">
        <f t="shared" ca="1" si="16"/>
        <v>#NUM!</v>
      </c>
      <c r="N37" s="40" t="str">
        <f t="shared" si="7"/>
        <v>19기 보수</v>
      </c>
      <c r="O37" s="38" t="e">
        <f t="shared" ca="1" si="17"/>
        <v>#NUM!</v>
      </c>
      <c r="P37" s="38" t="e">
        <f t="shared" ca="1" si="18"/>
        <v>#NAME?</v>
      </c>
      <c r="Q37" s="38" t="e">
        <f t="shared" ca="1" si="19"/>
        <v>#NUM!</v>
      </c>
      <c r="R37" s="38" t="e">
        <f t="shared" ca="1" si="20"/>
        <v>#NUM!</v>
      </c>
      <c r="S37" s="38" t="e">
        <f t="shared" ca="1" si="21"/>
        <v>#NUM!</v>
      </c>
      <c r="T37" s="38" t="e">
        <f t="shared" ca="1" si="22"/>
        <v>#NUM!</v>
      </c>
    </row>
    <row r="38" spans="1:20" ht="20.25" customHeight="1">
      <c r="A38" s="62"/>
      <c r="B38" s="6" t="e">
        <f t="shared" ca="1" si="8"/>
        <v>#NUM!</v>
      </c>
      <c r="C38" s="117" t="e">
        <f t="shared" ca="1" si="9"/>
        <v>#NUM!</v>
      </c>
      <c r="D38" s="131" t="e">
        <f t="shared" ca="1" si="10"/>
        <v>#NUM!</v>
      </c>
      <c r="E38" s="131" t="e">
        <f t="shared" ca="1" si="11"/>
        <v>#NUM!</v>
      </c>
      <c r="F38" s="137" t="e">
        <f t="shared" ca="1" si="12"/>
        <v>#NUM!</v>
      </c>
      <c r="G38" s="132" t="e">
        <f t="shared" ca="1" si="13"/>
        <v>#NUM!</v>
      </c>
      <c r="H38" s="132" t="e">
        <f t="shared" ca="1" si="14"/>
        <v>#NUM!</v>
      </c>
      <c r="I38" s="131" t="e">
        <f t="shared" ca="1" si="15"/>
        <v>#NUM!</v>
      </c>
      <c r="J38" s="66"/>
      <c r="K38" s="11"/>
      <c r="L38" s="11"/>
      <c r="M38" s="6" t="e">
        <f t="shared" ca="1" si="16"/>
        <v>#NUM!</v>
      </c>
      <c r="N38" s="40" t="str">
        <f t="shared" si="7"/>
        <v>20기 보수</v>
      </c>
      <c r="O38" s="38" t="e">
        <f t="shared" ca="1" si="17"/>
        <v>#NUM!</v>
      </c>
      <c r="P38" s="38" t="e">
        <f t="shared" ca="1" si="18"/>
        <v>#NAME?</v>
      </c>
      <c r="Q38" s="38" t="e">
        <f t="shared" ca="1" si="19"/>
        <v>#NUM!</v>
      </c>
      <c r="R38" s="38" t="e">
        <f t="shared" ca="1" si="20"/>
        <v>#NUM!</v>
      </c>
      <c r="S38" s="38" t="e">
        <f t="shared" ca="1" si="21"/>
        <v>#NUM!</v>
      </c>
      <c r="T38" s="38" t="e">
        <f t="shared" ca="1" si="22"/>
        <v>#NUM!</v>
      </c>
    </row>
    <row r="39" spans="1:20" ht="20.25" customHeight="1">
      <c r="A39" s="62"/>
      <c r="B39" s="6" t="e">
        <f t="shared" ca="1" si="8"/>
        <v>#NUM!</v>
      </c>
      <c r="C39" s="117" t="e">
        <f t="shared" ca="1" si="9"/>
        <v>#NUM!</v>
      </c>
      <c r="D39" s="131" t="e">
        <f t="shared" ca="1" si="10"/>
        <v>#NUM!</v>
      </c>
      <c r="E39" s="131" t="e">
        <f t="shared" ca="1" si="11"/>
        <v>#NUM!</v>
      </c>
      <c r="F39" s="137" t="e">
        <f t="shared" ca="1" si="12"/>
        <v>#NUM!</v>
      </c>
      <c r="G39" s="132" t="e">
        <f t="shared" ca="1" si="13"/>
        <v>#NUM!</v>
      </c>
      <c r="H39" s="132" t="e">
        <f t="shared" ca="1" si="14"/>
        <v>#NUM!</v>
      </c>
      <c r="I39" s="131" t="e">
        <f t="shared" ca="1" si="15"/>
        <v>#NUM!</v>
      </c>
      <c r="J39" s="66"/>
      <c r="K39" s="11"/>
      <c r="L39" s="11"/>
      <c r="M39" s="6" t="e">
        <f t="shared" ca="1" si="16"/>
        <v>#NUM!</v>
      </c>
      <c r="N39" s="40" t="str">
        <f t="shared" si="7"/>
        <v>21기 보수</v>
      </c>
      <c r="O39" s="38" t="e">
        <f t="shared" ca="1" si="17"/>
        <v>#NUM!</v>
      </c>
      <c r="P39" s="38" t="e">
        <f t="shared" ca="1" si="18"/>
        <v>#NAME?</v>
      </c>
      <c r="Q39" s="38" t="e">
        <f t="shared" ca="1" si="19"/>
        <v>#NUM!</v>
      </c>
      <c r="R39" s="38" t="e">
        <f t="shared" ca="1" si="20"/>
        <v>#NUM!</v>
      </c>
      <c r="S39" s="38" t="e">
        <f t="shared" ca="1" si="21"/>
        <v>#NUM!</v>
      </c>
      <c r="T39" s="38" t="e">
        <f t="shared" ca="1" si="22"/>
        <v>#NUM!</v>
      </c>
    </row>
    <row r="40" spans="1:20" ht="20.25" customHeight="1">
      <c r="A40" s="62"/>
      <c r="B40" s="6" t="e">
        <f t="shared" ca="1" si="8"/>
        <v>#NUM!</v>
      </c>
      <c r="C40" s="117" t="e">
        <f t="shared" ca="1" si="9"/>
        <v>#NUM!</v>
      </c>
      <c r="D40" s="131" t="e">
        <f t="shared" ca="1" si="10"/>
        <v>#NUM!</v>
      </c>
      <c r="E40" s="131" t="e">
        <f t="shared" ca="1" si="11"/>
        <v>#NUM!</v>
      </c>
      <c r="F40" s="137" t="e">
        <f t="shared" ca="1" si="12"/>
        <v>#NUM!</v>
      </c>
      <c r="G40" s="132" t="e">
        <f t="shared" ca="1" si="13"/>
        <v>#NUM!</v>
      </c>
      <c r="H40" s="132" t="e">
        <f t="shared" ca="1" si="14"/>
        <v>#NUM!</v>
      </c>
      <c r="I40" s="131" t="e">
        <f t="shared" ca="1" si="15"/>
        <v>#NUM!</v>
      </c>
      <c r="J40" s="66"/>
      <c r="K40" s="11"/>
      <c r="L40" s="11"/>
      <c r="M40" s="6" t="e">
        <f t="shared" ca="1" si="16"/>
        <v>#NUM!</v>
      </c>
      <c r="N40" s="40" t="str">
        <f t="shared" si="7"/>
        <v>22기 보수</v>
      </c>
      <c r="O40" s="38" t="e">
        <f t="shared" ca="1" si="17"/>
        <v>#NUM!</v>
      </c>
      <c r="P40" s="38" t="e">
        <f t="shared" ca="1" si="18"/>
        <v>#NAME?</v>
      </c>
      <c r="Q40" s="38" t="e">
        <f t="shared" ca="1" si="19"/>
        <v>#NUM!</v>
      </c>
      <c r="R40" s="38" t="e">
        <f t="shared" ca="1" si="20"/>
        <v>#NUM!</v>
      </c>
      <c r="S40" s="38" t="e">
        <f t="shared" ca="1" si="21"/>
        <v>#NUM!</v>
      </c>
      <c r="T40" s="38" t="e">
        <f t="shared" ca="1" si="22"/>
        <v>#NUM!</v>
      </c>
    </row>
    <row r="41" spans="1:20" ht="20.25" customHeight="1">
      <c r="A41" s="62"/>
      <c r="B41" s="6" t="e">
        <f t="shared" ca="1" si="8"/>
        <v>#NUM!</v>
      </c>
      <c r="C41" s="117" t="e">
        <f t="shared" ca="1" si="9"/>
        <v>#NUM!</v>
      </c>
      <c r="D41" s="131" t="e">
        <f t="shared" ca="1" si="10"/>
        <v>#NUM!</v>
      </c>
      <c r="E41" s="131" t="e">
        <f t="shared" ca="1" si="11"/>
        <v>#NUM!</v>
      </c>
      <c r="F41" s="137" t="e">
        <f t="shared" ca="1" si="12"/>
        <v>#NUM!</v>
      </c>
      <c r="G41" s="132" t="e">
        <f t="shared" ca="1" si="13"/>
        <v>#NUM!</v>
      </c>
      <c r="H41" s="132" t="e">
        <f t="shared" ca="1" si="14"/>
        <v>#NUM!</v>
      </c>
      <c r="I41" s="131" t="e">
        <f t="shared" ca="1" si="15"/>
        <v>#NUM!</v>
      </c>
      <c r="J41" s="66"/>
      <c r="K41" s="11"/>
      <c r="L41" s="11"/>
      <c r="M41" s="6" t="e">
        <f t="shared" ca="1" si="16"/>
        <v>#NUM!</v>
      </c>
      <c r="N41" s="40" t="str">
        <f t="shared" si="7"/>
        <v>23기 보수</v>
      </c>
      <c r="O41" s="38" t="e">
        <f t="shared" ca="1" si="17"/>
        <v>#NUM!</v>
      </c>
      <c r="P41" s="38" t="e">
        <f t="shared" ca="1" si="18"/>
        <v>#NAME?</v>
      </c>
      <c r="Q41" s="38" t="e">
        <f t="shared" ca="1" si="19"/>
        <v>#NUM!</v>
      </c>
      <c r="R41" s="38" t="e">
        <f t="shared" ca="1" si="20"/>
        <v>#NUM!</v>
      </c>
      <c r="S41" s="38" t="e">
        <f t="shared" ca="1" si="21"/>
        <v>#NUM!</v>
      </c>
      <c r="T41" s="38" t="e">
        <f t="shared" ca="1" si="22"/>
        <v>#NUM!</v>
      </c>
    </row>
    <row r="42" spans="1:20" ht="20.25" customHeight="1">
      <c r="A42" s="62"/>
      <c r="B42" s="6" t="e">
        <f t="shared" ca="1" si="8"/>
        <v>#NUM!</v>
      </c>
      <c r="C42" s="117" t="e">
        <f t="shared" ca="1" si="9"/>
        <v>#NUM!</v>
      </c>
      <c r="D42" s="131" t="e">
        <f t="shared" ca="1" si="10"/>
        <v>#NUM!</v>
      </c>
      <c r="E42" s="131" t="e">
        <f t="shared" ca="1" si="11"/>
        <v>#NUM!</v>
      </c>
      <c r="F42" s="137" t="e">
        <f t="shared" ca="1" si="12"/>
        <v>#NUM!</v>
      </c>
      <c r="G42" s="132" t="e">
        <f t="shared" ca="1" si="13"/>
        <v>#NUM!</v>
      </c>
      <c r="H42" s="132" t="e">
        <f t="shared" ca="1" si="14"/>
        <v>#NUM!</v>
      </c>
      <c r="I42" s="131" t="e">
        <f t="shared" ca="1" si="15"/>
        <v>#NUM!</v>
      </c>
      <c r="J42" s="66"/>
      <c r="K42" s="11"/>
      <c r="L42" s="11"/>
      <c r="M42" s="6" t="e">
        <f t="shared" ca="1" si="16"/>
        <v>#NUM!</v>
      </c>
      <c r="N42" s="40" t="str">
        <f t="shared" si="7"/>
        <v>24기 보수</v>
      </c>
      <c r="O42" s="38" t="e">
        <f t="shared" ca="1" si="17"/>
        <v>#NUM!</v>
      </c>
      <c r="P42" s="38" t="e">
        <f t="shared" ca="1" si="18"/>
        <v>#NAME?</v>
      </c>
      <c r="Q42" s="38" t="e">
        <f t="shared" ca="1" si="19"/>
        <v>#NUM!</v>
      </c>
      <c r="R42" s="38" t="e">
        <f t="shared" ca="1" si="20"/>
        <v>#NUM!</v>
      </c>
      <c r="S42" s="38" t="e">
        <f t="shared" ca="1" si="21"/>
        <v>#NUM!</v>
      </c>
      <c r="T42" s="38" t="e">
        <f t="shared" ca="1" si="22"/>
        <v>#NUM!</v>
      </c>
    </row>
    <row r="43" spans="1:20" ht="20.25" customHeight="1">
      <c r="A43" s="62"/>
      <c r="B43" s="6" t="e">
        <f t="shared" ca="1" si="8"/>
        <v>#NUM!</v>
      </c>
      <c r="C43" s="117" t="e">
        <f t="shared" ca="1" si="9"/>
        <v>#NUM!</v>
      </c>
      <c r="D43" s="131" t="e">
        <f t="shared" ca="1" si="10"/>
        <v>#NUM!</v>
      </c>
      <c r="E43" s="131" t="e">
        <f t="shared" ca="1" si="11"/>
        <v>#NUM!</v>
      </c>
      <c r="F43" s="137" t="e">
        <f t="shared" ca="1" si="12"/>
        <v>#NUM!</v>
      </c>
      <c r="G43" s="132" t="e">
        <f t="shared" ca="1" si="13"/>
        <v>#NUM!</v>
      </c>
      <c r="H43" s="132" t="e">
        <f t="shared" ca="1" si="14"/>
        <v>#NUM!</v>
      </c>
      <c r="I43" s="131" t="e">
        <f t="shared" ca="1" si="15"/>
        <v>#NUM!</v>
      </c>
      <c r="J43" s="66"/>
      <c r="K43" s="11"/>
      <c r="L43" s="11"/>
      <c r="M43" s="6" t="e">
        <f t="shared" ca="1" si="16"/>
        <v>#NUM!</v>
      </c>
      <c r="N43" s="40" t="str">
        <f t="shared" si="7"/>
        <v>25기 보수</v>
      </c>
      <c r="O43" s="38" t="e">
        <f t="shared" ca="1" si="17"/>
        <v>#NUM!</v>
      </c>
      <c r="P43" s="38" t="e">
        <f t="shared" ca="1" si="18"/>
        <v>#NAME?</v>
      </c>
      <c r="Q43" s="38" t="e">
        <f t="shared" ca="1" si="19"/>
        <v>#NUM!</v>
      </c>
      <c r="R43" s="38" t="e">
        <f t="shared" ca="1" si="20"/>
        <v>#NUM!</v>
      </c>
      <c r="S43" s="38" t="e">
        <f t="shared" ca="1" si="21"/>
        <v>#NUM!</v>
      </c>
      <c r="T43" s="38" t="e">
        <f t="shared" ca="1" si="22"/>
        <v>#NUM!</v>
      </c>
    </row>
    <row r="44" spans="1:20" ht="20.25" customHeight="1">
      <c r="A44" s="62"/>
      <c r="B44" s="6" t="e">
        <f t="shared" ca="1" si="8"/>
        <v>#NUM!</v>
      </c>
      <c r="C44" s="117" t="e">
        <f t="shared" ca="1" si="9"/>
        <v>#NUM!</v>
      </c>
      <c r="D44" s="131" t="e">
        <f t="shared" ca="1" si="10"/>
        <v>#NUM!</v>
      </c>
      <c r="E44" s="131" t="e">
        <f t="shared" ca="1" si="11"/>
        <v>#NUM!</v>
      </c>
      <c r="F44" s="137" t="e">
        <f t="shared" ca="1" si="12"/>
        <v>#NUM!</v>
      </c>
      <c r="G44" s="132" t="e">
        <f t="shared" ca="1" si="13"/>
        <v>#NUM!</v>
      </c>
      <c r="H44" s="132" t="e">
        <f t="shared" ca="1" si="14"/>
        <v>#NUM!</v>
      </c>
      <c r="I44" s="131" t="e">
        <f t="shared" ca="1" si="15"/>
        <v>#NUM!</v>
      </c>
      <c r="J44" s="66"/>
      <c r="K44" s="11"/>
      <c r="L44" s="11"/>
      <c r="M44" s="6" t="e">
        <f t="shared" ca="1" si="16"/>
        <v>#NUM!</v>
      </c>
      <c r="N44" s="40" t="str">
        <f t="shared" si="7"/>
        <v>26기 보수</v>
      </c>
      <c r="O44" s="38" t="e">
        <f t="shared" ca="1" si="17"/>
        <v>#NUM!</v>
      </c>
      <c r="P44" s="38" t="e">
        <f t="shared" ca="1" si="18"/>
        <v>#NAME?</v>
      </c>
      <c r="Q44" s="38" t="e">
        <f t="shared" ca="1" si="19"/>
        <v>#NUM!</v>
      </c>
      <c r="R44" s="38" t="e">
        <f t="shared" ca="1" si="20"/>
        <v>#NUM!</v>
      </c>
      <c r="S44" s="38" t="e">
        <f t="shared" ca="1" si="21"/>
        <v>#NUM!</v>
      </c>
      <c r="T44" s="38" t="e">
        <f t="shared" ca="1" si="22"/>
        <v>#NUM!</v>
      </c>
    </row>
    <row r="45" spans="1:20" ht="20.25" customHeight="1">
      <c r="A45" s="62"/>
      <c r="B45" s="6" t="e">
        <f t="shared" ca="1" si="8"/>
        <v>#NUM!</v>
      </c>
      <c r="C45" s="117" t="e">
        <f t="shared" ca="1" si="9"/>
        <v>#NUM!</v>
      </c>
      <c r="D45" s="131" t="e">
        <f t="shared" ca="1" si="10"/>
        <v>#NUM!</v>
      </c>
      <c r="E45" s="131" t="e">
        <f t="shared" ca="1" si="11"/>
        <v>#NUM!</v>
      </c>
      <c r="F45" s="137" t="e">
        <f t="shared" ca="1" si="12"/>
        <v>#NUM!</v>
      </c>
      <c r="G45" s="132" t="e">
        <f t="shared" ca="1" si="13"/>
        <v>#NUM!</v>
      </c>
      <c r="H45" s="132" t="e">
        <f t="shared" ca="1" si="14"/>
        <v>#NUM!</v>
      </c>
      <c r="I45" s="131" t="e">
        <f t="shared" ca="1" si="15"/>
        <v>#NUM!</v>
      </c>
      <c r="J45" s="66"/>
      <c r="K45" s="11"/>
      <c r="L45" s="11"/>
      <c r="M45" s="6" t="e">
        <f t="shared" ca="1" si="16"/>
        <v>#NUM!</v>
      </c>
      <c r="N45" s="40" t="str">
        <f t="shared" si="7"/>
        <v>27기 보수</v>
      </c>
      <c r="O45" s="38" t="e">
        <f t="shared" ca="1" si="17"/>
        <v>#NUM!</v>
      </c>
      <c r="P45" s="38" t="e">
        <f t="shared" ca="1" si="18"/>
        <v>#NAME?</v>
      </c>
      <c r="Q45" s="38" t="e">
        <f t="shared" ca="1" si="19"/>
        <v>#NUM!</v>
      </c>
      <c r="R45" s="38" t="e">
        <f t="shared" ca="1" si="20"/>
        <v>#NUM!</v>
      </c>
      <c r="S45" s="38" t="e">
        <f t="shared" ca="1" si="21"/>
        <v>#NUM!</v>
      </c>
      <c r="T45" s="38" t="e">
        <f t="shared" ca="1" si="22"/>
        <v>#NUM!</v>
      </c>
    </row>
    <row r="46" spans="1:20" ht="20.25" customHeight="1">
      <c r="A46" s="62"/>
      <c r="B46" s="6" t="e">
        <f t="shared" ca="1" si="8"/>
        <v>#NUM!</v>
      </c>
      <c r="C46" s="117" t="e">
        <f t="shared" ca="1" si="9"/>
        <v>#NUM!</v>
      </c>
      <c r="D46" s="131" t="e">
        <f t="shared" ca="1" si="10"/>
        <v>#NUM!</v>
      </c>
      <c r="E46" s="131" t="e">
        <f t="shared" ca="1" si="11"/>
        <v>#NUM!</v>
      </c>
      <c r="F46" s="137" t="e">
        <f t="shared" ca="1" si="12"/>
        <v>#NUM!</v>
      </c>
      <c r="G46" s="132" t="e">
        <f t="shared" ca="1" si="13"/>
        <v>#NUM!</v>
      </c>
      <c r="H46" s="132" t="e">
        <f t="shared" ca="1" si="14"/>
        <v>#NUM!</v>
      </c>
      <c r="I46" s="131" t="e">
        <f t="shared" ca="1" si="15"/>
        <v>#NUM!</v>
      </c>
      <c r="J46" s="66"/>
      <c r="K46" s="11"/>
      <c r="L46" s="11"/>
      <c r="M46" s="6" t="e">
        <f t="shared" ca="1" si="16"/>
        <v>#NUM!</v>
      </c>
      <c r="N46" s="40" t="str">
        <f t="shared" si="7"/>
        <v>28기 보수</v>
      </c>
      <c r="O46" s="38" t="e">
        <f t="shared" ca="1" si="17"/>
        <v>#NUM!</v>
      </c>
      <c r="P46" s="38" t="e">
        <f t="shared" ca="1" si="18"/>
        <v>#NAME?</v>
      </c>
      <c r="Q46" s="38" t="e">
        <f t="shared" ca="1" si="19"/>
        <v>#NUM!</v>
      </c>
      <c r="R46" s="38" t="e">
        <f t="shared" ca="1" si="20"/>
        <v>#NUM!</v>
      </c>
      <c r="S46" s="38" t="e">
        <f t="shared" ca="1" si="21"/>
        <v>#NUM!</v>
      </c>
      <c r="T46" s="38" t="e">
        <f t="shared" ca="1" si="22"/>
        <v>#NUM!</v>
      </c>
    </row>
    <row r="47" spans="1:20" ht="20.25" customHeight="1">
      <c r="A47" s="62"/>
      <c r="B47" s="6" t="e">
        <f t="shared" ca="1" si="8"/>
        <v>#NUM!</v>
      </c>
      <c r="C47" s="117" t="e">
        <f t="shared" ca="1" si="9"/>
        <v>#NUM!</v>
      </c>
      <c r="D47" s="131" t="e">
        <f t="shared" ca="1" si="10"/>
        <v>#NUM!</v>
      </c>
      <c r="E47" s="131" t="e">
        <f t="shared" ca="1" si="11"/>
        <v>#NUM!</v>
      </c>
      <c r="F47" s="137" t="e">
        <f t="shared" ca="1" si="12"/>
        <v>#NUM!</v>
      </c>
      <c r="G47" s="132" t="e">
        <f t="shared" ca="1" si="13"/>
        <v>#NUM!</v>
      </c>
      <c r="H47" s="132" t="e">
        <f t="shared" ca="1" si="14"/>
        <v>#NUM!</v>
      </c>
      <c r="I47" s="131" t="e">
        <f t="shared" ca="1" si="15"/>
        <v>#NUM!</v>
      </c>
      <c r="J47" s="66"/>
      <c r="K47" s="11"/>
      <c r="L47" s="11"/>
      <c r="M47" s="6" t="e">
        <f t="shared" ca="1" si="16"/>
        <v>#NUM!</v>
      </c>
      <c r="N47" s="40" t="str">
        <f t="shared" si="7"/>
        <v>29기 보수</v>
      </c>
      <c r="O47" s="38" t="e">
        <f t="shared" ca="1" si="17"/>
        <v>#NUM!</v>
      </c>
      <c r="P47" s="38" t="e">
        <f t="shared" ca="1" si="18"/>
        <v>#NAME?</v>
      </c>
      <c r="Q47" s="38" t="e">
        <f t="shared" ca="1" si="19"/>
        <v>#NUM!</v>
      </c>
      <c r="R47" s="38" t="e">
        <f t="shared" ca="1" si="20"/>
        <v>#NUM!</v>
      </c>
      <c r="S47" s="38" t="e">
        <f t="shared" ca="1" si="21"/>
        <v>#NUM!</v>
      </c>
      <c r="T47" s="38" t="e">
        <f t="shared" ca="1" si="22"/>
        <v>#NUM!</v>
      </c>
    </row>
    <row r="48" spans="1:20" ht="20.25" customHeight="1">
      <c r="A48" s="62"/>
      <c r="B48" s="6" t="e">
        <f t="shared" ca="1" si="8"/>
        <v>#NUM!</v>
      </c>
      <c r="C48" s="117" t="e">
        <f t="shared" ca="1" si="9"/>
        <v>#NUM!</v>
      </c>
      <c r="D48" s="131" t="e">
        <f t="shared" ca="1" si="10"/>
        <v>#NUM!</v>
      </c>
      <c r="E48" s="131" t="e">
        <f t="shared" ca="1" si="11"/>
        <v>#NUM!</v>
      </c>
      <c r="F48" s="137" t="e">
        <f t="shared" ca="1" si="12"/>
        <v>#NUM!</v>
      </c>
      <c r="G48" s="132" t="e">
        <f t="shared" ca="1" si="13"/>
        <v>#NUM!</v>
      </c>
      <c r="H48" s="132" t="e">
        <f t="shared" ca="1" si="14"/>
        <v>#NUM!</v>
      </c>
      <c r="I48" s="131" t="e">
        <f t="shared" ca="1" si="15"/>
        <v>#NUM!</v>
      </c>
      <c r="J48" s="66"/>
      <c r="K48" s="11"/>
      <c r="L48" s="11"/>
      <c r="M48" s="6" t="e">
        <f t="shared" ca="1" si="16"/>
        <v>#NUM!</v>
      </c>
      <c r="N48" s="40" t="str">
        <f t="shared" si="7"/>
        <v>30기 보수</v>
      </c>
      <c r="O48" s="38" t="e">
        <f t="shared" ca="1" si="17"/>
        <v>#NUM!</v>
      </c>
      <c r="P48" s="38" t="e">
        <f t="shared" ca="1" si="18"/>
        <v>#NAME?</v>
      </c>
      <c r="Q48" s="38" t="e">
        <f t="shared" ca="1" si="19"/>
        <v>#NUM!</v>
      </c>
      <c r="R48" s="38" t="e">
        <f t="shared" ca="1" si="20"/>
        <v>#NUM!</v>
      </c>
      <c r="S48" s="38" t="e">
        <f t="shared" ca="1" si="21"/>
        <v>#NUM!</v>
      </c>
      <c r="T48" s="38" t="e">
        <f t="shared" ca="1" si="22"/>
        <v>#NUM!</v>
      </c>
    </row>
    <row r="49" spans="1:20" ht="20.25" customHeight="1">
      <c r="A49" s="62"/>
      <c r="B49" s="6" t="e">
        <f t="shared" ca="1" si="8"/>
        <v>#NUM!</v>
      </c>
      <c r="C49" s="117" t="e">
        <f t="shared" ca="1" si="9"/>
        <v>#NUM!</v>
      </c>
      <c r="D49" s="131" t="e">
        <f t="shared" ca="1" si="10"/>
        <v>#NUM!</v>
      </c>
      <c r="E49" s="131" t="e">
        <f t="shared" ca="1" si="11"/>
        <v>#NUM!</v>
      </c>
      <c r="F49" s="137" t="e">
        <f t="shared" ca="1" si="12"/>
        <v>#NUM!</v>
      </c>
      <c r="G49" s="132" t="e">
        <f t="shared" ca="1" si="13"/>
        <v>#NUM!</v>
      </c>
      <c r="H49" s="132" t="e">
        <f t="shared" ca="1" si="14"/>
        <v>#NUM!</v>
      </c>
      <c r="I49" s="131" t="e">
        <f t="shared" ca="1" si="15"/>
        <v>#NUM!</v>
      </c>
      <c r="J49" s="66"/>
      <c r="K49" s="11"/>
      <c r="L49" s="11"/>
      <c r="M49" s="6" t="e">
        <f t="shared" ca="1" si="16"/>
        <v>#NUM!</v>
      </c>
      <c r="N49" s="40" t="str">
        <f t="shared" si="7"/>
        <v>31기 보수</v>
      </c>
      <c r="O49" s="38" t="e">
        <f t="shared" ca="1" si="17"/>
        <v>#NUM!</v>
      </c>
      <c r="P49" s="38" t="e">
        <f t="shared" ca="1" si="18"/>
        <v>#NAME?</v>
      </c>
      <c r="Q49" s="38" t="e">
        <f t="shared" ca="1" si="19"/>
        <v>#NUM!</v>
      </c>
      <c r="R49" s="38" t="e">
        <f t="shared" ca="1" si="20"/>
        <v>#NUM!</v>
      </c>
      <c r="S49" s="38" t="e">
        <f t="shared" ca="1" si="21"/>
        <v>#NUM!</v>
      </c>
      <c r="T49" s="38" t="e">
        <f t="shared" ca="1" si="22"/>
        <v>#NUM!</v>
      </c>
    </row>
    <row r="50" spans="1:20" ht="20.25" customHeight="1">
      <c r="A50" s="62"/>
      <c r="B50" s="6" t="e">
        <f t="shared" ca="1" si="8"/>
        <v>#NUM!</v>
      </c>
      <c r="C50" s="117" t="e">
        <f t="shared" ca="1" si="9"/>
        <v>#NUM!</v>
      </c>
      <c r="D50" s="131" t="e">
        <f t="shared" ca="1" si="10"/>
        <v>#NUM!</v>
      </c>
      <c r="E50" s="131" t="e">
        <f t="shared" ca="1" si="11"/>
        <v>#NUM!</v>
      </c>
      <c r="F50" s="137" t="e">
        <f t="shared" ca="1" si="12"/>
        <v>#NUM!</v>
      </c>
      <c r="G50" s="132" t="e">
        <f t="shared" ca="1" si="13"/>
        <v>#NUM!</v>
      </c>
      <c r="H50" s="132" t="e">
        <f t="shared" ca="1" si="14"/>
        <v>#NUM!</v>
      </c>
      <c r="I50" s="131" t="e">
        <f t="shared" ca="1" si="15"/>
        <v>#NUM!</v>
      </c>
      <c r="J50" s="66"/>
      <c r="K50" s="11"/>
      <c r="L50" s="11"/>
      <c r="M50" s="6" t="e">
        <f t="shared" ca="1" si="16"/>
        <v>#NUM!</v>
      </c>
      <c r="N50" s="40" t="str">
        <f t="shared" si="7"/>
        <v>32기 보수</v>
      </c>
      <c r="O50" s="38" t="e">
        <f t="shared" ca="1" si="17"/>
        <v>#NUM!</v>
      </c>
      <c r="P50" s="38" t="e">
        <f t="shared" ca="1" si="18"/>
        <v>#NAME?</v>
      </c>
      <c r="Q50" s="38" t="e">
        <f t="shared" ca="1" si="19"/>
        <v>#NUM!</v>
      </c>
      <c r="R50" s="38" t="e">
        <f t="shared" ca="1" si="20"/>
        <v>#NUM!</v>
      </c>
      <c r="S50" s="38" t="e">
        <f t="shared" ca="1" si="21"/>
        <v>#NUM!</v>
      </c>
      <c r="T50" s="38" t="e">
        <f t="shared" ca="1" si="22"/>
        <v>#NUM!</v>
      </c>
    </row>
    <row r="51" spans="1:20" ht="20.25" customHeight="1">
      <c r="A51" s="62"/>
      <c r="B51" s="6" t="e">
        <f t="shared" ca="1" si="8"/>
        <v>#NUM!</v>
      </c>
      <c r="C51" s="117" t="e">
        <f t="shared" ca="1" si="9"/>
        <v>#NUM!</v>
      </c>
      <c r="D51" s="131" t="e">
        <f t="shared" ca="1" si="10"/>
        <v>#NUM!</v>
      </c>
      <c r="E51" s="131" t="e">
        <f t="shared" ca="1" si="11"/>
        <v>#NUM!</v>
      </c>
      <c r="F51" s="137" t="e">
        <f t="shared" ca="1" si="12"/>
        <v>#NUM!</v>
      </c>
      <c r="G51" s="132" t="e">
        <f t="shared" ca="1" si="13"/>
        <v>#NUM!</v>
      </c>
      <c r="H51" s="132" t="e">
        <f t="shared" ca="1" si="14"/>
        <v>#NUM!</v>
      </c>
      <c r="I51" s="131" t="e">
        <f t="shared" ca="1" si="15"/>
        <v>#NUM!</v>
      </c>
      <c r="J51" s="66"/>
      <c r="K51" s="11"/>
      <c r="L51" s="11"/>
      <c r="M51" s="6" t="e">
        <f t="shared" ca="1" si="16"/>
        <v>#NUM!</v>
      </c>
      <c r="N51" s="40" t="str">
        <f t="shared" si="7"/>
        <v>33기 보수</v>
      </c>
      <c r="O51" s="38" t="e">
        <f t="shared" ca="1" si="17"/>
        <v>#NUM!</v>
      </c>
      <c r="P51" s="38" t="e">
        <f t="shared" ca="1" si="18"/>
        <v>#NAME?</v>
      </c>
      <c r="Q51" s="38" t="e">
        <f t="shared" ca="1" si="19"/>
        <v>#NUM!</v>
      </c>
      <c r="R51" s="38" t="e">
        <f t="shared" ca="1" si="20"/>
        <v>#NUM!</v>
      </c>
      <c r="S51" s="38" t="e">
        <f t="shared" ca="1" si="21"/>
        <v>#NUM!</v>
      </c>
      <c r="T51" s="38" t="e">
        <f t="shared" ca="1" si="22"/>
        <v>#NUM!</v>
      </c>
    </row>
    <row r="52" spans="1:20" ht="20.25" customHeight="1">
      <c r="A52" s="62"/>
      <c r="B52" s="6" t="e">
        <f t="shared" ca="1" si="8"/>
        <v>#NUM!</v>
      </c>
      <c r="C52" s="117" t="e">
        <f t="shared" ca="1" si="9"/>
        <v>#NUM!</v>
      </c>
      <c r="D52" s="131" t="e">
        <f t="shared" ca="1" si="10"/>
        <v>#NUM!</v>
      </c>
      <c r="E52" s="131" t="e">
        <f t="shared" ca="1" si="11"/>
        <v>#NUM!</v>
      </c>
      <c r="F52" s="137" t="e">
        <f t="shared" ca="1" si="12"/>
        <v>#NUM!</v>
      </c>
      <c r="G52" s="132" t="e">
        <f t="shared" ca="1" si="13"/>
        <v>#NUM!</v>
      </c>
      <c r="H52" s="132" t="e">
        <f t="shared" ca="1" si="14"/>
        <v>#NUM!</v>
      </c>
      <c r="I52" s="131" t="e">
        <f t="shared" ca="1" si="15"/>
        <v>#NUM!</v>
      </c>
      <c r="J52" s="66"/>
      <c r="K52" s="11"/>
      <c r="L52" s="11"/>
      <c r="M52" s="6" t="e">
        <f t="shared" ca="1" si="16"/>
        <v>#NUM!</v>
      </c>
      <c r="N52" s="40" t="str">
        <f t="shared" si="7"/>
        <v>34기 보수</v>
      </c>
      <c r="O52" s="38" t="e">
        <f t="shared" ca="1" si="17"/>
        <v>#NUM!</v>
      </c>
      <c r="P52" s="38" t="e">
        <f t="shared" ca="1" si="18"/>
        <v>#NAME?</v>
      </c>
      <c r="Q52" s="38" t="e">
        <f t="shared" ca="1" si="19"/>
        <v>#NUM!</v>
      </c>
      <c r="R52" s="38" t="e">
        <f t="shared" ca="1" si="20"/>
        <v>#NUM!</v>
      </c>
      <c r="S52" s="38" t="e">
        <f t="shared" ca="1" si="21"/>
        <v>#NUM!</v>
      </c>
      <c r="T52" s="38" t="e">
        <f t="shared" ca="1" si="22"/>
        <v>#NUM!</v>
      </c>
    </row>
    <row r="53" spans="1:20" ht="20.25" customHeight="1">
      <c r="A53" s="62"/>
      <c r="B53" s="6" t="e">
        <f t="shared" ca="1" si="8"/>
        <v>#NUM!</v>
      </c>
      <c r="C53" s="117" t="e">
        <f t="shared" ca="1" si="9"/>
        <v>#NUM!</v>
      </c>
      <c r="D53" s="131" t="e">
        <f t="shared" ca="1" si="10"/>
        <v>#NUM!</v>
      </c>
      <c r="E53" s="131" t="e">
        <f t="shared" ca="1" si="11"/>
        <v>#NUM!</v>
      </c>
      <c r="F53" s="137" t="e">
        <f t="shared" ca="1" si="12"/>
        <v>#NUM!</v>
      </c>
      <c r="G53" s="132" t="e">
        <f t="shared" ca="1" si="13"/>
        <v>#NUM!</v>
      </c>
      <c r="H53" s="132" t="e">
        <f t="shared" ca="1" si="14"/>
        <v>#NUM!</v>
      </c>
      <c r="I53" s="131" t="e">
        <f t="shared" ca="1" si="15"/>
        <v>#NUM!</v>
      </c>
      <c r="J53" s="66"/>
      <c r="K53" s="11"/>
      <c r="L53" s="11"/>
      <c r="M53" s="6" t="e">
        <f t="shared" ca="1" si="16"/>
        <v>#NUM!</v>
      </c>
      <c r="N53" s="40" t="str">
        <f t="shared" si="7"/>
        <v>35기 보수</v>
      </c>
      <c r="O53" s="38" t="e">
        <f t="shared" ca="1" si="17"/>
        <v>#NUM!</v>
      </c>
      <c r="P53" s="38" t="e">
        <f t="shared" ca="1" si="18"/>
        <v>#NAME?</v>
      </c>
      <c r="Q53" s="38" t="e">
        <f t="shared" ca="1" si="19"/>
        <v>#NUM!</v>
      </c>
      <c r="R53" s="38" t="e">
        <f t="shared" ca="1" si="20"/>
        <v>#NUM!</v>
      </c>
      <c r="S53" s="38" t="e">
        <f t="shared" ca="1" si="21"/>
        <v>#NUM!</v>
      </c>
      <c r="T53" s="38" t="e">
        <f t="shared" ca="1" si="22"/>
        <v>#NUM!</v>
      </c>
    </row>
    <row r="54" spans="1:20" ht="20.25" customHeight="1">
      <c r="A54" s="62"/>
      <c r="B54" s="6" t="e">
        <f t="shared" ca="1" si="8"/>
        <v>#NUM!</v>
      </c>
      <c r="C54" s="117" t="e">
        <f t="shared" ca="1" si="9"/>
        <v>#NUM!</v>
      </c>
      <c r="D54" s="131" t="e">
        <f t="shared" ca="1" si="10"/>
        <v>#NUM!</v>
      </c>
      <c r="E54" s="131" t="e">
        <f t="shared" ca="1" si="11"/>
        <v>#NUM!</v>
      </c>
      <c r="F54" s="137" t="e">
        <f t="shared" ca="1" si="12"/>
        <v>#NUM!</v>
      </c>
      <c r="G54" s="132" t="e">
        <f t="shared" ca="1" si="13"/>
        <v>#NUM!</v>
      </c>
      <c r="H54" s="132" t="e">
        <f t="shared" ca="1" si="14"/>
        <v>#NUM!</v>
      </c>
      <c r="I54" s="131" t="e">
        <f t="shared" ca="1" si="15"/>
        <v>#NUM!</v>
      </c>
      <c r="J54" s="66"/>
      <c r="K54" s="11"/>
      <c r="L54" s="11"/>
      <c r="M54" s="6" t="e">
        <f t="shared" ca="1" si="16"/>
        <v>#NUM!</v>
      </c>
      <c r="N54" s="40" t="str">
        <f t="shared" si="7"/>
        <v>36기 보수</v>
      </c>
      <c r="O54" s="38" t="e">
        <f t="shared" ca="1" si="17"/>
        <v>#NUM!</v>
      </c>
      <c r="P54" s="38" t="e">
        <f t="shared" ca="1" si="18"/>
        <v>#NAME?</v>
      </c>
      <c r="Q54" s="38" t="e">
        <f t="shared" ca="1" si="19"/>
        <v>#NUM!</v>
      </c>
      <c r="R54" s="38" t="e">
        <f t="shared" ca="1" si="20"/>
        <v>#NUM!</v>
      </c>
      <c r="S54" s="38" t="e">
        <f t="shared" ca="1" si="21"/>
        <v>#NUM!</v>
      </c>
      <c r="T54" s="38" t="e">
        <f t="shared" ca="1" si="22"/>
        <v>#NUM!</v>
      </c>
    </row>
    <row r="55" spans="1:20" ht="20.25" customHeight="1">
      <c r="A55" s="62"/>
      <c r="B55" s="6" t="e">
        <f t="shared" ca="1" si="8"/>
        <v>#NUM!</v>
      </c>
      <c r="C55" s="117" t="e">
        <f t="shared" ca="1" si="9"/>
        <v>#NUM!</v>
      </c>
      <c r="D55" s="131" t="e">
        <f t="shared" ca="1" si="10"/>
        <v>#NUM!</v>
      </c>
      <c r="E55" s="131" t="e">
        <f t="shared" ca="1" si="11"/>
        <v>#NUM!</v>
      </c>
      <c r="F55" s="137" t="e">
        <f t="shared" ca="1" si="12"/>
        <v>#NUM!</v>
      </c>
      <c r="G55" s="132" t="e">
        <f t="shared" ca="1" si="13"/>
        <v>#NUM!</v>
      </c>
      <c r="H55" s="132" t="e">
        <f t="shared" ca="1" si="14"/>
        <v>#NUM!</v>
      </c>
      <c r="I55" s="131" t="e">
        <f t="shared" ca="1" si="15"/>
        <v>#NUM!</v>
      </c>
      <c r="J55" s="66"/>
      <c r="K55" s="11"/>
      <c r="L55" s="11"/>
      <c r="M55" s="6" t="e">
        <f t="shared" ca="1" si="16"/>
        <v>#NUM!</v>
      </c>
      <c r="N55" s="40" t="str">
        <f t="shared" si="7"/>
        <v>37기 보수</v>
      </c>
      <c r="O55" s="38" t="e">
        <f t="shared" ca="1" si="17"/>
        <v>#NUM!</v>
      </c>
      <c r="P55" s="38" t="e">
        <f t="shared" ca="1" si="18"/>
        <v>#NAME?</v>
      </c>
      <c r="Q55" s="38" t="e">
        <f t="shared" ca="1" si="19"/>
        <v>#NUM!</v>
      </c>
      <c r="R55" s="38" t="e">
        <f t="shared" ca="1" si="20"/>
        <v>#NUM!</v>
      </c>
      <c r="S55" s="38" t="e">
        <f t="shared" ca="1" si="21"/>
        <v>#NUM!</v>
      </c>
      <c r="T55" s="38" t="e">
        <f t="shared" ca="1" si="22"/>
        <v>#NUM!</v>
      </c>
    </row>
    <row r="56" spans="1:20" ht="20.25" customHeight="1">
      <c r="A56" s="62"/>
      <c r="B56" s="6" t="e">
        <f t="shared" ca="1" si="8"/>
        <v>#NUM!</v>
      </c>
      <c r="C56" s="117" t="e">
        <f t="shared" ca="1" si="9"/>
        <v>#NUM!</v>
      </c>
      <c r="D56" s="131" t="e">
        <f t="shared" ca="1" si="10"/>
        <v>#NUM!</v>
      </c>
      <c r="E56" s="131" t="e">
        <f t="shared" ca="1" si="11"/>
        <v>#NUM!</v>
      </c>
      <c r="F56" s="137" t="e">
        <f t="shared" ca="1" si="12"/>
        <v>#NUM!</v>
      </c>
      <c r="G56" s="132" t="e">
        <f t="shared" ca="1" si="13"/>
        <v>#NUM!</v>
      </c>
      <c r="H56" s="132" t="e">
        <f t="shared" ca="1" si="14"/>
        <v>#NUM!</v>
      </c>
      <c r="I56" s="131" t="e">
        <f t="shared" ca="1" si="15"/>
        <v>#NUM!</v>
      </c>
      <c r="J56" s="66"/>
      <c r="K56" s="11"/>
      <c r="L56" s="11"/>
      <c r="M56" s="6" t="e">
        <f t="shared" ca="1" si="16"/>
        <v>#NUM!</v>
      </c>
      <c r="N56" s="40" t="str">
        <f t="shared" si="7"/>
        <v>38기 보수</v>
      </c>
      <c r="O56" s="38" t="e">
        <f t="shared" ca="1" si="17"/>
        <v>#NUM!</v>
      </c>
      <c r="P56" s="38" t="e">
        <f t="shared" ca="1" si="18"/>
        <v>#NAME?</v>
      </c>
      <c r="Q56" s="38" t="e">
        <f t="shared" ca="1" si="19"/>
        <v>#NUM!</v>
      </c>
      <c r="R56" s="38" t="e">
        <f t="shared" ca="1" si="20"/>
        <v>#NUM!</v>
      </c>
      <c r="S56" s="38" t="e">
        <f t="shared" ca="1" si="21"/>
        <v>#NUM!</v>
      </c>
      <c r="T56" s="38" t="e">
        <f t="shared" ca="1" si="22"/>
        <v>#NUM!</v>
      </c>
    </row>
    <row r="57" spans="1:20" ht="20.25" customHeight="1">
      <c r="A57" s="62"/>
      <c r="B57" s="6" t="e">
        <f t="shared" ca="1" si="8"/>
        <v>#NUM!</v>
      </c>
      <c r="C57" s="117" t="e">
        <f t="shared" ca="1" si="9"/>
        <v>#NUM!</v>
      </c>
      <c r="D57" s="131" t="e">
        <f t="shared" ca="1" si="10"/>
        <v>#NUM!</v>
      </c>
      <c r="E57" s="131" t="e">
        <f t="shared" ca="1" si="11"/>
        <v>#NUM!</v>
      </c>
      <c r="F57" s="137" t="e">
        <f t="shared" ca="1" si="12"/>
        <v>#NUM!</v>
      </c>
      <c r="G57" s="132" t="e">
        <f t="shared" ca="1" si="13"/>
        <v>#NUM!</v>
      </c>
      <c r="H57" s="132" t="e">
        <f t="shared" ca="1" si="14"/>
        <v>#NUM!</v>
      </c>
      <c r="I57" s="131" t="e">
        <f t="shared" ca="1" si="15"/>
        <v>#NUM!</v>
      </c>
      <c r="J57" s="66"/>
      <c r="K57" s="11"/>
      <c r="L57" s="11"/>
      <c r="M57" s="6" t="e">
        <f t="shared" ca="1" si="16"/>
        <v>#NUM!</v>
      </c>
      <c r="N57" s="40" t="str">
        <f t="shared" si="7"/>
        <v>39기 보수</v>
      </c>
      <c r="O57" s="38" t="e">
        <f t="shared" ca="1" si="17"/>
        <v>#NUM!</v>
      </c>
      <c r="P57" s="38" t="e">
        <f t="shared" ca="1" si="18"/>
        <v>#NAME?</v>
      </c>
      <c r="Q57" s="38" t="e">
        <f t="shared" ca="1" si="19"/>
        <v>#NUM!</v>
      </c>
      <c r="R57" s="38" t="e">
        <f t="shared" ca="1" si="20"/>
        <v>#NUM!</v>
      </c>
      <c r="S57" s="38" t="e">
        <f t="shared" ca="1" si="21"/>
        <v>#NUM!</v>
      </c>
      <c r="T57" s="38" t="e">
        <f t="shared" ca="1" si="22"/>
        <v>#NUM!</v>
      </c>
    </row>
    <row r="58" spans="1:20" ht="20.25" customHeight="1">
      <c r="A58" s="62"/>
      <c r="B58" s="6" t="e">
        <f t="shared" ca="1" si="8"/>
        <v>#NUM!</v>
      </c>
      <c r="C58" s="117" t="e">
        <f t="shared" ca="1" si="9"/>
        <v>#NUM!</v>
      </c>
      <c r="D58" s="131" t="e">
        <f t="shared" ca="1" si="10"/>
        <v>#NUM!</v>
      </c>
      <c r="E58" s="131" t="e">
        <f t="shared" ca="1" si="11"/>
        <v>#NUM!</v>
      </c>
      <c r="F58" s="137" t="e">
        <f t="shared" ca="1" si="12"/>
        <v>#NUM!</v>
      </c>
      <c r="G58" s="132" t="e">
        <f t="shared" ca="1" si="13"/>
        <v>#NUM!</v>
      </c>
      <c r="H58" s="132" t="e">
        <f t="shared" ca="1" si="14"/>
        <v>#NUM!</v>
      </c>
      <c r="I58" s="131" t="e">
        <f t="shared" ca="1" si="15"/>
        <v>#NUM!</v>
      </c>
      <c r="J58" s="66"/>
      <c r="K58" s="11"/>
      <c r="L58" s="11"/>
      <c r="M58" s="6" t="e">
        <f t="shared" ca="1" si="16"/>
        <v>#NUM!</v>
      </c>
      <c r="N58" s="40" t="str">
        <f t="shared" si="7"/>
        <v>40기 보수</v>
      </c>
      <c r="O58" s="38" t="e">
        <f t="shared" ca="1" si="17"/>
        <v>#NUM!</v>
      </c>
      <c r="P58" s="38" t="e">
        <f t="shared" ca="1" si="18"/>
        <v>#NAME?</v>
      </c>
      <c r="Q58" s="38" t="e">
        <f t="shared" ca="1" si="19"/>
        <v>#NUM!</v>
      </c>
      <c r="R58" s="38" t="e">
        <f t="shared" ca="1" si="20"/>
        <v>#NUM!</v>
      </c>
      <c r="S58" s="38" t="e">
        <f t="shared" ca="1" si="21"/>
        <v>#NUM!</v>
      </c>
      <c r="T58" s="38" t="e">
        <f t="shared" ca="1" si="22"/>
        <v>#NUM!</v>
      </c>
    </row>
    <row r="59" spans="1:20" ht="20.25" customHeight="1">
      <c r="A59" s="62"/>
      <c r="B59" s="6" t="e">
        <f t="shared" ca="1" si="8"/>
        <v>#NUM!</v>
      </c>
      <c r="C59" s="117" t="e">
        <f t="shared" ca="1" si="9"/>
        <v>#NUM!</v>
      </c>
      <c r="D59" s="131" t="e">
        <f t="shared" ca="1" si="10"/>
        <v>#NUM!</v>
      </c>
      <c r="E59" s="131" t="e">
        <f t="shared" ca="1" si="11"/>
        <v>#NUM!</v>
      </c>
      <c r="F59" s="137" t="e">
        <f t="shared" ca="1" si="12"/>
        <v>#NUM!</v>
      </c>
      <c r="G59" s="132" t="e">
        <f t="shared" ca="1" si="13"/>
        <v>#NUM!</v>
      </c>
      <c r="H59" s="132" t="e">
        <f t="shared" ca="1" si="14"/>
        <v>#NUM!</v>
      </c>
      <c r="I59" s="131" t="e">
        <f t="shared" ca="1" si="15"/>
        <v>#NUM!</v>
      </c>
      <c r="J59" s="66"/>
      <c r="K59" s="11"/>
      <c r="L59" s="11"/>
      <c r="M59" s="6" t="e">
        <f t="shared" ca="1" si="16"/>
        <v>#NUM!</v>
      </c>
      <c r="N59" s="40" t="str">
        <f t="shared" si="7"/>
        <v>41기 보수</v>
      </c>
      <c r="O59" s="38" t="e">
        <f t="shared" ca="1" si="17"/>
        <v>#NUM!</v>
      </c>
      <c r="P59" s="38" t="e">
        <f t="shared" ca="1" si="18"/>
        <v>#NAME?</v>
      </c>
      <c r="Q59" s="38" t="e">
        <f t="shared" ca="1" si="19"/>
        <v>#NUM!</v>
      </c>
      <c r="R59" s="38" t="e">
        <f t="shared" ca="1" si="20"/>
        <v>#NUM!</v>
      </c>
      <c r="S59" s="38" t="e">
        <f t="shared" ca="1" si="21"/>
        <v>#NUM!</v>
      </c>
      <c r="T59" s="38" t="e">
        <f t="shared" ca="1" si="22"/>
        <v>#NUM!</v>
      </c>
    </row>
    <row r="60" spans="1:20" ht="20.25" customHeight="1">
      <c r="A60" s="62"/>
      <c r="B60" s="6" t="e">
        <f t="shared" ca="1" si="8"/>
        <v>#NUM!</v>
      </c>
      <c r="C60" s="117" t="e">
        <f t="shared" ca="1" si="9"/>
        <v>#NUM!</v>
      </c>
      <c r="D60" s="131" t="e">
        <f t="shared" ca="1" si="10"/>
        <v>#NUM!</v>
      </c>
      <c r="E60" s="131" t="e">
        <f t="shared" ca="1" si="11"/>
        <v>#NUM!</v>
      </c>
      <c r="F60" s="137" t="e">
        <f t="shared" ca="1" si="12"/>
        <v>#NUM!</v>
      </c>
      <c r="G60" s="132" t="e">
        <f t="shared" ca="1" si="13"/>
        <v>#NUM!</v>
      </c>
      <c r="H60" s="132" t="e">
        <f t="shared" ca="1" si="14"/>
        <v>#NUM!</v>
      </c>
      <c r="I60" s="131" t="e">
        <f t="shared" ca="1" si="15"/>
        <v>#NUM!</v>
      </c>
      <c r="J60" s="66"/>
      <c r="K60" s="11"/>
      <c r="L60" s="11"/>
      <c r="M60" s="6" t="e">
        <f t="shared" ca="1" si="16"/>
        <v>#NUM!</v>
      </c>
      <c r="N60" s="40" t="str">
        <f t="shared" si="7"/>
        <v>42기 보수</v>
      </c>
      <c r="O60" s="38" t="e">
        <f t="shared" ca="1" si="17"/>
        <v>#NUM!</v>
      </c>
      <c r="P60" s="38" t="e">
        <f t="shared" ca="1" si="18"/>
        <v>#NAME?</v>
      </c>
      <c r="Q60" s="38" t="e">
        <f t="shared" ca="1" si="19"/>
        <v>#NUM!</v>
      </c>
      <c r="R60" s="38" t="e">
        <f t="shared" ca="1" si="20"/>
        <v>#NUM!</v>
      </c>
      <c r="S60" s="38" t="e">
        <f t="shared" ca="1" si="21"/>
        <v>#NUM!</v>
      </c>
      <c r="T60" s="38" t="e">
        <f t="shared" ca="1" si="22"/>
        <v>#NUM!</v>
      </c>
    </row>
    <row r="61" spans="1:20" ht="20.25" customHeight="1">
      <c r="A61" s="62"/>
      <c r="B61" s="6" t="e">
        <f t="shared" ca="1" si="8"/>
        <v>#NUM!</v>
      </c>
      <c r="C61" s="117" t="e">
        <f t="shared" ca="1" si="9"/>
        <v>#NUM!</v>
      </c>
      <c r="D61" s="131" t="e">
        <f t="shared" ca="1" si="10"/>
        <v>#NUM!</v>
      </c>
      <c r="E61" s="131" t="e">
        <f t="shared" ca="1" si="11"/>
        <v>#NUM!</v>
      </c>
      <c r="F61" s="137" t="e">
        <f t="shared" ca="1" si="12"/>
        <v>#NUM!</v>
      </c>
      <c r="G61" s="132" t="e">
        <f t="shared" ca="1" si="13"/>
        <v>#NUM!</v>
      </c>
      <c r="H61" s="132" t="e">
        <f t="shared" ca="1" si="14"/>
        <v>#NUM!</v>
      </c>
      <c r="I61" s="131" t="e">
        <f t="shared" ca="1" si="15"/>
        <v>#NUM!</v>
      </c>
      <c r="J61" s="66"/>
      <c r="K61" s="11"/>
      <c r="L61" s="11"/>
      <c r="M61" s="6" t="e">
        <f t="shared" ca="1" si="16"/>
        <v>#NUM!</v>
      </c>
      <c r="N61" s="40" t="str">
        <f t="shared" si="7"/>
        <v>43기 보수</v>
      </c>
      <c r="O61" s="38" t="e">
        <f t="shared" ca="1" si="17"/>
        <v>#NUM!</v>
      </c>
      <c r="P61" s="38" t="e">
        <f t="shared" ca="1" si="18"/>
        <v>#NAME?</v>
      </c>
      <c r="Q61" s="38" t="e">
        <f t="shared" ca="1" si="19"/>
        <v>#NUM!</v>
      </c>
      <c r="R61" s="38" t="e">
        <f t="shared" ca="1" si="20"/>
        <v>#NUM!</v>
      </c>
      <c r="S61" s="38" t="e">
        <f t="shared" ca="1" si="21"/>
        <v>#NUM!</v>
      </c>
      <c r="T61" s="38" t="e">
        <f t="shared" ca="1" si="22"/>
        <v>#NUM!</v>
      </c>
    </row>
    <row r="62" spans="1:20" ht="20.25" customHeight="1">
      <c r="A62" s="62"/>
      <c r="B62" s="6" t="e">
        <f t="shared" ca="1" si="8"/>
        <v>#NUM!</v>
      </c>
      <c r="C62" s="117" t="e">
        <f t="shared" ca="1" si="9"/>
        <v>#NUM!</v>
      </c>
      <c r="D62" s="131" t="e">
        <f t="shared" ca="1" si="10"/>
        <v>#NUM!</v>
      </c>
      <c r="E62" s="131" t="e">
        <f t="shared" ca="1" si="11"/>
        <v>#NUM!</v>
      </c>
      <c r="F62" s="137" t="e">
        <f t="shared" ca="1" si="12"/>
        <v>#NUM!</v>
      </c>
      <c r="G62" s="132" t="e">
        <f t="shared" ca="1" si="13"/>
        <v>#NUM!</v>
      </c>
      <c r="H62" s="132" t="e">
        <f t="shared" ca="1" si="14"/>
        <v>#NUM!</v>
      </c>
      <c r="I62" s="131" t="e">
        <f t="shared" ca="1" si="15"/>
        <v>#NUM!</v>
      </c>
      <c r="J62" s="66"/>
      <c r="K62" s="11"/>
      <c r="L62" s="11"/>
      <c r="M62" s="6" t="e">
        <f t="shared" ca="1" si="16"/>
        <v>#NUM!</v>
      </c>
      <c r="N62" s="40" t="str">
        <f t="shared" si="7"/>
        <v>44기 보수</v>
      </c>
      <c r="O62" s="38" t="e">
        <f t="shared" ca="1" si="17"/>
        <v>#NUM!</v>
      </c>
      <c r="P62" s="38" t="e">
        <f t="shared" ca="1" si="18"/>
        <v>#NAME?</v>
      </c>
      <c r="Q62" s="38" t="e">
        <f t="shared" ca="1" si="19"/>
        <v>#NUM!</v>
      </c>
      <c r="R62" s="38" t="e">
        <f t="shared" ca="1" si="20"/>
        <v>#NUM!</v>
      </c>
      <c r="S62" s="38" t="e">
        <f t="shared" ca="1" si="21"/>
        <v>#NUM!</v>
      </c>
      <c r="T62" s="38" t="e">
        <f t="shared" ca="1" si="22"/>
        <v>#NUM!</v>
      </c>
    </row>
    <row r="63" spans="1:20" ht="20.25" customHeight="1">
      <c r="A63" s="62"/>
      <c r="B63" s="6" t="e">
        <f t="shared" ca="1" si="8"/>
        <v>#NUM!</v>
      </c>
      <c r="C63" s="117" t="e">
        <f t="shared" ca="1" si="9"/>
        <v>#NUM!</v>
      </c>
      <c r="D63" s="131" t="e">
        <f t="shared" ca="1" si="10"/>
        <v>#NUM!</v>
      </c>
      <c r="E63" s="131" t="e">
        <f t="shared" ca="1" si="11"/>
        <v>#NUM!</v>
      </c>
      <c r="F63" s="137" t="e">
        <f t="shared" ca="1" si="12"/>
        <v>#NUM!</v>
      </c>
      <c r="G63" s="132" t="e">
        <f t="shared" ca="1" si="13"/>
        <v>#NUM!</v>
      </c>
      <c r="H63" s="132" t="e">
        <f t="shared" ca="1" si="14"/>
        <v>#NUM!</v>
      </c>
      <c r="I63" s="131" t="e">
        <f t="shared" ca="1" si="15"/>
        <v>#NUM!</v>
      </c>
      <c r="J63" s="66"/>
      <c r="K63" s="11"/>
      <c r="L63" s="11"/>
      <c r="M63" s="6" t="e">
        <f t="shared" ca="1" si="16"/>
        <v>#NUM!</v>
      </c>
      <c r="N63" s="40" t="str">
        <f t="shared" si="7"/>
        <v>45기 보수</v>
      </c>
      <c r="O63" s="38" t="e">
        <f t="shared" ca="1" si="17"/>
        <v>#NUM!</v>
      </c>
      <c r="P63" s="38" t="e">
        <f t="shared" ca="1" si="18"/>
        <v>#NAME?</v>
      </c>
      <c r="Q63" s="38" t="e">
        <f t="shared" ca="1" si="19"/>
        <v>#NUM!</v>
      </c>
      <c r="R63" s="38" t="e">
        <f t="shared" ca="1" si="20"/>
        <v>#NUM!</v>
      </c>
      <c r="S63" s="38" t="e">
        <f t="shared" ca="1" si="21"/>
        <v>#NUM!</v>
      </c>
      <c r="T63" s="38" t="e">
        <f t="shared" ca="1" si="22"/>
        <v>#NUM!</v>
      </c>
    </row>
    <row r="64" spans="1:20" ht="20.25" customHeight="1">
      <c r="A64" s="62"/>
      <c r="B64" s="6" t="e">
        <f t="shared" ca="1" si="8"/>
        <v>#NUM!</v>
      </c>
      <c r="C64" s="117" t="e">
        <f t="shared" ca="1" si="9"/>
        <v>#NUM!</v>
      </c>
      <c r="D64" s="131" t="e">
        <f t="shared" ca="1" si="10"/>
        <v>#NUM!</v>
      </c>
      <c r="E64" s="131" t="e">
        <f t="shared" ca="1" si="11"/>
        <v>#NUM!</v>
      </c>
      <c r="F64" s="137" t="e">
        <f t="shared" ca="1" si="12"/>
        <v>#NUM!</v>
      </c>
      <c r="G64" s="132" t="e">
        <f t="shared" ca="1" si="13"/>
        <v>#NUM!</v>
      </c>
      <c r="H64" s="132" t="e">
        <f t="shared" ca="1" si="14"/>
        <v>#NUM!</v>
      </c>
      <c r="I64" s="131" t="e">
        <f t="shared" ca="1" si="15"/>
        <v>#NUM!</v>
      </c>
      <c r="J64" s="66"/>
      <c r="K64" s="11"/>
      <c r="L64" s="11"/>
      <c r="M64" s="6" t="e">
        <f t="shared" ca="1" si="16"/>
        <v>#NUM!</v>
      </c>
      <c r="N64" s="40" t="str">
        <f t="shared" si="7"/>
        <v>46기 보수</v>
      </c>
      <c r="O64" s="38" t="e">
        <f t="shared" ca="1" si="17"/>
        <v>#NUM!</v>
      </c>
      <c r="P64" s="38" t="e">
        <f t="shared" ca="1" si="18"/>
        <v>#NAME?</v>
      </c>
      <c r="Q64" s="38" t="e">
        <f t="shared" ca="1" si="19"/>
        <v>#NUM!</v>
      </c>
      <c r="R64" s="38" t="e">
        <f t="shared" ca="1" si="20"/>
        <v>#NUM!</v>
      </c>
      <c r="S64" s="38" t="e">
        <f t="shared" ca="1" si="21"/>
        <v>#NUM!</v>
      </c>
      <c r="T64" s="38" t="e">
        <f t="shared" ca="1" si="22"/>
        <v>#NUM!</v>
      </c>
    </row>
    <row r="65" spans="1:20" ht="20.25" customHeight="1">
      <c r="A65" s="62"/>
      <c r="B65" s="6" t="e">
        <f t="shared" ca="1" si="8"/>
        <v>#NUM!</v>
      </c>
      <c r="C65" s="117" t="e">
        <f t="shared" ca="1" si="9"/>
        <v>#NUM!</v>
      </c>
      <c r="D65" s="131" t="e">
        <f t="shared" ca="1" si="10"/>
        <v>#NUM!</v>
      </c>
      <c r="E65" s="131" t="e">
        <f t="shared" ca="1" si="11"/>
        <v>#NUM!</v>
      </c>
      <c r="F65" s="137" t="e">
        <f t="shared" ca="1" si="12"/>
        <v>#NUM!</v>
      </c>
      <c r="G65" s="132" t="e">
        <f t="shared" ca="1" si="13"/>
        <v>#NUM!</v>
      </c>
      <c r="H65" s="132" t="e">
        <f t="shared" ca="1" si="14"/>
        <v>#NUM!</v>
      </c>
      <c r="I65" s="131" t="e">
        <f t="shared" ca="1" si="15"/>
        <v>#NUM!</v>
      </c>
      <c r="J65" s="66"/>
      <c r="K65" s="11"/>
      <c r="L65" s="11"/>
      <c r="M65" s="6" t="e">
        <f t="shared" ca="1" si="16"/>
        <v>#NUM!</v>
      </c>
      <c r="N65" s="40" t="str">
        <f t="shared" si="7"/>
        <v>47기 보수</v>
      </c>
      <c r="O65" s="38" t="e">
        <f t="shared" ca="1" si="17"/>
        <v>#NUM!</v>
      </c>
      <c r="P65" s="38" t="e">
        <f t="shared" ca="1" si="18"/>
        <v>#NAME?</v>
      </c>
      <c r="Q65" s="38" t="e">
        <f t="shared" ca="1" si="19"/>
        <v>#NUM!</v>
      </c>
      <c r="R65" s="38" t="e">
        <f t="shared" ca="1" si="20"/>
        <v>#NUM!</v>
      </c>
      <c r="S65" s="38" t="e">
        <f t="shared" ca="1" si="21"/>
        <v>#NUM!</v>
      </c>
      <c r="T65" s="38" t="e">
        <f t="shared" ca="1" si="22"/>
        <v>#NUM!</v>
      </c>
    </row>
    <row r="66" spans="1:20" ht="20.25" customHeight="1">
      <c r="A66" s="62"/>
      <c r="B66" s="6" t="e">
        <f t="shared" ca="1" si="8"/>
        <v>#NUM!</v>
      </c>
      <c r="C66" s="117" t="e">
        <f t="shared" ca="1" si="9"/>
        <v>#NUM!</v>
      </c>
      <c r="D66" s="131" t="e">
        <f t="shared" ca="1" si="10"/>
        <v>#NUM!</v>
      </c>
      <c r="E66" s="131" t="e">
        <f t="shared" ca="1" si="11"/>
        <v>#NUM!</v>
      </c>
      <c r="F66" s="137" t="e">
        <f t="shared" ca="1" si="12"/>
        <v>#NUM!</v>
      </c>
      <c r="G66" s="132" t="e">
        <f t="shared" ca="1" si="13"/>
        <v>#NUM!</v>
      </c>
      <c r="H66" s="132" t="e">
        <f t="shared" ca="1" si="14"/>
        <v>#NUM!</v>
      </c>
      <c r="I66" s="131" t="e">
        <f t="shared" ca="1" si="15"/>
        <v>#NUM!</v>
      </c>
      <c r="J66" s="66"/>
      <c r="K66" s="11"/>
      <c r="L66" s="11"/>
      <c r="M66" s="6" t="e">
        <f t="shared" ca="1" si="16"/>
        <v>#NUM!</v>
      </c>
      <c r="N66" s="40" t="str">
        <f t="shared" si="7"/>
        <v>48기 보수</v>
      </c>
      <c r="O66" s="38" t="e">
        <f t="shared" ca="1" si="17"/>
        <v>#NUM!</v>
      </c>
      <c r="P66" s="38" t="e">
        <f t="shared" ca="1" si="18"/>
        <v>#NAME?</v>
      </c>
      <c r="Q66" s="38" t="e">
        <f t="shared" ca="1" si="19"/>
        <v>#NUM!</v>
      </c>
      <c r="R66" s="38" t="e">
        <f t="shared" ca="1" si="20"/>
        <v>#NUM!</v>
      </c>
      <c r="S66" s="38" t="e">
        <f t="shared" ca="1" si="21"/>
        <v>#NUM!</v>
      </c>
      <c r="T66" s="38" t="e">
        <f t="shared" ca="1" si="22"/>
        <v>#NUM!</v>
      </c>
    </row>
    <row r="67" spans="1:20" ht="20.25" customHeight="1">
      <c r="A67" s="62"/>
      <c r="B67" s="6" t="e">
        <f t="shared" ca="1" si="8"/>
        <v>#NUM!</v>
      </c>
      <c r="C67" s="117" t="e">
        <f t="shared" ca="1" si="9"/>
        <v>#NUM!</v>
      </c>
      <c r="D67" s="131" t="e">
        <f t="shared" ca="1" si="10"/>
        <v>#NUM!</v>
      </c>
      <c r="E67" s="131" t="e">
        <f t="shared" ca="1" si="11"/>
        <v>#NUM!</v>
      </c>
      <c r="F67" s="137" t="e">
        <f t="shared" ca="1" si="12"/>
        <v>#NUM!</v>
      </c>
      <c r="G67" s="132" t="e">
        <f t="shared" ca="1" si="13"/>
        <v>#NUM!</v>
      </c>
      <c r="H67" s="132" t="e">
        <f t="shared" ca="1" si="14"/>
        <v>#NUM!</v>
      </c>
      <c r="I67" s="131" t="e">
        <f t="shared" ca="1" si="15"/>
        <v>#NUM!</v>
      </c>
      <c r="J67" s="66"/>
      <c r="K67" s="11"/>
      <c r="L67" s="11"/>
      <c r="M67" s="6" t="e">
        <f t="shared" ca="1" si="16"/>
        <v>#NUM!</v>
      </c>
      <c r="N67" s="40" t="str">
        <f t="shared" si="7"/>
        <v>49기 보수</v>
      </c>
      <c r="O67" s="38" t="e">
        <f t="shared" ca="1" si="17"/>
        <v>#NUM!</v>
      </c>
      <c r="P67" s="38" t="e">
        <f t="shared" ca="1" si="18"/>
        <v>#NAME?</v>
      </c>
      <c r="Q67" s="38" t="e">
        <f t="shared" ca="1" si="19"/>
        <v>#NUM!</v>
      </c>
      <c r="R67" s="38" t="e">
        <f t="shared" ca="1" si="20"/>
        <v>#NUM!</v>
      </c>
      <c r="S67" s="38" t="e">
        <f t="shared" ca="1" si="21"/>
        <v>#NUM!</v>
      </c>
      <c r="T67" s="38" t="e">
        <f t="shared" ca="1" si="22"/>
        <v>#NUM!</v>
      </c>
    </row>
    <row r="68" spans="1:20" ht="20.25" customHeight="1">
      <c r="A68" s="62"/>
      <c r="B68" s="6" t="e">
        <f t="shared" ca="1" si="8"/>
        <v>#NUM!</v>
      </c>
      <c r="C68" s="117" t="e">
        <f t="shared" ca="1" si="9"/>
        <v>#NUM!</v>
      </c>
      <c r="D68" s="131" t="e">
        <f t="shared" ca="1" si="10"/>
        <v>#NUM!</v>
      </c>
      <c r="E68" s="131" t="e">
        <f t="shared" ca="1" si="11"/>
        <v>#NUM!</v>
      </c>
      <c r="F68" s="137" t="e">
        <f t="shared" ca="1" si="12"/>
        <v>#NUM!</v>
      </c>
      <c r="G68" s="132" t="e">
        <f t="shared" ca="1" si="13"/>
        <v>#NUM!</v>
      </c>
      <c r="H68" s="132" t="e">
        <f t="shared" ca="1" si="14"/>
        <v>#NUM!</v>
      </c>
      <c r="I68" s="131" t="e">
        <f t="shared" ca="1" si="15"/>
        <v>#NUM!</v>
      </c>
      <c r="J68" s="66"/>
      <c r="K68" s="11"/>
      <c r="L68" s="11"/>
      <c r="M68" s="6" t="e">
        <f t="shared" ca="1" si="16"/>
        <v>#NUM!</v>
      </c>
      <c r="N68" s="40" t="str">
        <f t="shared" si="7"/>
        <v>50기 보수</v>
      </c>
      <c r="O68" s="38" t="e">
        <f t="shared" ca="1" si="17"/>
        <v>#NUM!</v>
      </c>
      <c r="P68" s="38" t="e">
        <f t="shared" ca="1" si="18"/>
        <v>#NAME?</v>
      </c>
      <c r="Q68" s="38" t="e">
        <f t="shared" ca="1" si="19"/>
        <v>#NUM!</v>
      </c>
      <c r="R68" s="38" t="e">
        <f t="shared" ca="1" si="20"/>
        <v>#NUM!</v>
      </c>
      <c r="S68" s="38" t="e">
        <f t="shared" ca="1" si="21"/>
        <v>#NUM!</v>
      </c>
      <c r="T68" s="38" t="e">
        <f t="shared" ca="1" si="22"/>
        <v>#NUM!</v>
      </c>
    </row>
    <row r="69" spans="1:20" ht="20.25" customHeight="1">
      <c r="A69" s="62"/>
      <c r="B69" s="6" t="e">
        <f t="shared" ca="1" si="8"/>
        <v>#NUM!</v>
      </c>
      <c r="C69" s="117" t="e">
        <f t="shared" ca="1" si="9"/>
        <v>#NUM!</v>
      </c>
      <c r="D69" s="131" t="e">
        <f t="shared" ca="1" si="10"/>
        <v>#NUM!</v>
      </c>
      <c r="E69" s="131" t="e">
        <f t="shared" ca="1" si="11"/>
        <v>#NUM!</v>
      </c>
      <c r="F69" s="137" t="e">
        <f t="shared" ca="1" si="12"/>
        <v>#NUM!</v>
      </c>
      <c r="G69" s="132" t="e">
        <f t="shared" ca="1" si="13"/>
        <v>#NUM!</v>
      </c>
      <c r="H69" s="132" t="e">
        <f t="shared" ca="1" si="14"/>
        <v>#NUM!</v>
      </c>
      <c r="I69" s="131" t="e">
        <f t="shared" ca="1" si="15"/>
        <v>#NUM!</v>
      </c>
      <c r="J69" s="66"/>
      <c r="K69" s="11"/>
      <c r="L69" s="11"/>
      <c r="M69" s="6" t="e">
        <f t="shared" ca="1" si="16"/>
        <v>#NUM!</v>
      </c>
      <c r="N69" s="40" t="str">
        <f t="shared" si="7"/>
        <v>51기 보수</v>
      </c>
      <c r="O69" s="38" t="e">
        <f t="shared" ca="1" si="17"/>
        <v>#NUM!</v>
      </c>
      <c r="P69" s="38" t="e">
        <f t="shared" ca="1" si="18"/>
        <v>#NAME?</v>
      </c>
      <c r="Q69" s="38" t="e">
        <f t="shared" ca="1" si="19"/>
        <v>#NUM!</v>
      </c>
      <c r="R69" s="38" t="e">
        <f t="shared" ca="1" si="20"/>
        <v>#NUM!</v>
      </c>
      <c r="S69" s="38" t="e">
        <f t="shared" ca="1" si="21"/>
        <v>#NUM!</v>
      </c>
      <c r="T69" s="38" t="e">
        <f t="shared" ca="1" si="22"/>
        <v>#NUM!</v>
      </c>
    </row>
    <row r="70" spans="1:20" ht="20.25" customHeight="1">
      <c r="A70" s="62"/>
      <c r="B70" s="6" t="e">
        <f t="shared" ca="1" si="8"/>
        <v>#NUM!</v>
      </c>
      <c r="C70" s="117" t="e">
        <f t="shared" ca="1" si="9"/>
        <v>#NUM!</v>
      </c>
      <c r="D70" s="131" t="e">
        <f t="shared" ca="1" si="10"/>
        <v>#NUM!</v>
      </c>
      <c r="E70" s="131" t="e">
        <f t="shared" ca="1" si="11"/>
        <v>#NUM!</v>
      </c>
      <c r="F70" s="137" t="e">
        <f t="shared" ca="1" si="12"/>
        <v>#NUM!</v>
      </c>
      <c r="G70" s="132" t="e">
        <f t="shared" ca="1" si="13"/>
        <v>#NUM!</v>
      </c>
      <c r="H70" s="132" t="e">
        <f t="shared" ca="1" si="14"/>
        <v>#NUM!</v>
      </c>
      <c r="I70" s="131" t="e">
        <f t="shared" ca="1" si="15"/>
        <v>#NUM!</v>
      </c>
      <c r="J70" s="66"/>
      <c r="K70" s="11"/>
      <c r="L70" s="11"/>
      <c r="M70" s="6" t="e">
        <f t="shared" ca="1" si="16"/>
        <v>#NUM!</v>
      </c>
      <c r="N70" s="40" t="str">
        <f t="shared" si="7"/>
        <v>52기 보수</v>
      </c>
      <c r="O70" s="38" t="e">
        <f t="shared" ca="1" si="17"/>
        <v>#NUM!</v>
      </c>
      <c r="P70" s="38" t="e">
        <f t="shared" ca="1" si="18"/>
        <v>#NAME?</v>
      </c>
      <c r="Q70" s="38" t="e">
        <f t="shared" ca="1" si="19"/>
        <v>#NUM!</v>
      </c>
      <c r="R70" s="38" t="e">
        <f t="shared" ca="1" si="20"/>
        <v>#NUM!</v>
      </c>
      <c r="S70" s="38" t="e">
        <f t="shared" ca="1" si="21"/>
        <v>#NUM!</v>
      </c>
      <c r="T70" s="38" t="e">
        <f t="shared" ca="1" si="22"/>
        <v>#NUM!</v>
      </c>
    </row>
    <row r="71" spans="1:20" ht="20.25" customHeight="1">
      <c r="A71" s="62"/>
      <c r="B71" s="6" t="e">
        <f t="shared" ca="1" si="8"/>
        <v>#NUM!</v>
      </c>
      <c r="C71" s="117" t="e">
        <f t="shared" ca="1" si="9"/>
        <v>#NUM!</v>
      </c>
      <c r="D71" s="131" t="e">
        <f t="shared" ca="1" si="10"/>
        <v>#NUM!</v>
      </c>
      <c r="E71" s="131" t="e">
        <f t="shared" ca="1" si="11"/>
        <v>#NUM!</v>
      </c>
      <c r="F71" s="137" t="e">
        <f t="shared" ca="1" si="12"/>
        <v>#NUM!</v>
      </c>
      <c r="G71" s="132" t="e">
        <f t="shared" ca="1" si="13"/>
        <v>#NUM!</v>
      </c>
      <c r="H71" s="132" t="e">
        <f t="shared" ca="1" si="14"/>
        <v>#NUM!</v>
      </c>
      <c r="I71" s="131" t="e">
        <f t="shared" ca="1" si="15"/>
        <v>#NUM!</v>
      </c>
      <c r="J71" s="66"/>
      <c r="K71" s="11"/>
      <c r="L71" s="11"/>
      <c r="M71" s="6" t="e">
        <f t="shared" ca="1" si="16"/>
        <v>#NUM!</v>
      </c>
      <c r="N71" s="40" t="str">
        <f t="shared" si="7"/>
        <v>53기 보수</v>
      </c>
      <c r="O71" s="38" t="e">
        <f t="shared" ca="1" si="17"/>
        <v>#NUM!</v>
      </c>
      <c r="P71" s="38" t="e">
        <f t="shared" ca="1" si="18"/>
        <v>#NAME?</v>
      </c>
      <c r="Q71" s="38" t="e">
        <f t="shared" ca="1" si="19"/>
        <v>#NUM!</v>
      </c>
      <c r="R71" s="38" t="e">
        <f t="shared" ca="1" si="20"/>
        <v>#NUM!</v>
      </c>
      <c r="S71" s="38" t="e">
        <f t="shared" ca="1" si="21"/>
        <v>#NUM!</v>
      </c>
      <c r="T71" s="38" t="e">
        <f t="shared" ca="1" si="22"/>
        <v>#NUM!</v>
      </c>
    </row>
    <row r="72" spans="1:20" ht="20.25" customHeight="1">
      <c r="A72" s="62"/>
      <c r="B72" s="6" t="e">
        <f t="shared" ca="1" si="8"/>
        <v>#NUM!</v>
      </c>
      <c r="C72" s="117" t="e">
        <f t="shared" ca="1" si="9"/>
        <v>#NUM!</v>
      </c>
      <c r="D72" s="131" t="e">
        <f t="shared" ca="1" si="10"/>
        <v>#NUM!</v>
      </c>
      <c r="E72" s="131" t="e">
        <f t="shared" ca="1" si="11"/>
        <v>#NUM!</v>
      </c>
      <c r="F72" s="137" t="e">
        <f t="shared" ca="1" si="12"/>
        <v>#NUM!</v>
      </c>
      <c r="G72" s="132" t="e">
        <f t="shared" ca="1" si="13"/>
        <v>#NUM!</v>
      </c>
      <c r="H72" s="132" t="e">
        <f t="shared" ca="1" si="14"/>
        <v>#NUM!</v>
      </c>
      <c r="I72" s="131" t="e">
        <f t="shared" ca="1" si="15"/>
        <v>#NUM!</v>
      </c>
      <c r="J72" s="66"/>
      <c r="K72" s="11"/>
      <c r="L72" s="11"/>
      <c r="M72" s="6" t="e">
        <f t="shared" ca="1" si="16"/>
        <v>#NUM!</v>
      </c>
      <c r="N72" s="40" t="str">
        <f t="shared" si="7"/>
        <v>54기 보수</v>
      </c>
      <c r="O72" s="38" t="e">
        <f t="shared" ca="1" si="17"/>
        <v>#NUM!</v>
      </c>
      <c r="P72" s="38" t="e">
        <f t="shared" ca="1" si="18"/>
        <v>#NAME?</v>
      </c>
      <c r="Q72" s="38" t="e">
        <f t="shared" ca="1" si="19"/>
        <v>#NUM!</v>
      </c>
      <c r="R72" s="38" t="e">
        <f t="shared" ca="1" si="20"/>
        <v>#NUM!</v>
      </c>
      <c r="S72" s="38" t="e">
        <f t="shared" ca="1" si="21"/>
        <v>#NUM!</v>
      </c>
      <c r="T72" s="38" t="e">
        <f t="shared" ca="1" si="22"/>
        <v>#NUM!</v>
      </c>
    </row>
    <row r="73" spans="1:20" ht="20.25" customHeight="1">
      <c r="A73" s="62"/>
      <c r="B73" s="6" t="e">
        <f t="shared" ca="1" si="8"/>
        <v>#NUM!</v>
      </c>
      <c r="C73" s="117" t="e">
        <f t="shared" ca="1" si="9"/>
        <v>#NUM!</v>
      </c>
      <c r="D73" s="131" t="e">
        <f t="shared" ca="1" si="10"/>
        <v>#NUM!</v>
      </c>
      <c r="E73" s="131" t="e">
        <f t="shared" ca="1" si="11"/>
        <v>#NUM!</v>
      </c>
      <c r="F73" s="137" t="e">
        <f t="shared" ca="1" si="12"/>
        <v>#NUM!</v>
      </c>
      <c r="G73" s="132" t="e">
        <f t="shared" ca="1" si="13"/>
        <v>#NUM!</v>
      </c>
      <c r="H73" s="132" t="e">
        <f t="shared" ca="1" si="14"/>
        <v>#NUM!</v>
      </c>
      <c r="I73" s="131" t="e">
        <f t="shared" ca="1" si="15"/>
        <v>#NUM!</v>
      </c>
      <c r="J73" s="66"/>
      <c r="K73" s="11"/>
      <c r="L73" s="11"/>
      <c r="M73" s="6" t="e">
        <f t="shared" ca="1" si="16"/>
        <v>#NUM!</v>
      </c>
      <c r="N73" s="40" t="str">
        <f t="shared" si="7"/>
        <v>55기 보수</v>
      </c>
      <c r="O73" s="38" t="e">
        <f t="shared" ca="1" si="17"/>
        <v>#NUM!</v>
      </c>
      <c r="P73" s="38" t="e">
        <f t="shared" ca="1" si="18"/>
        <v>#NAME?</v>
      </c>
      <c r="Q73" s="38" t="e">
        <f t="shared" ca="1" si="19"/>
        <v>#NUM!</v>
      </c>
      <c r="R73" s="38" t="e">
        <f t="shared" ca="1" si="20"/>
        <v>#NUM!</v>
      </c>
      <c r="S73" s="38" t="e">
        <f t="shared" ca="1" si="21"/>
        <v>#NUM!</v>
      </c>
      <c r="T73" s="38" t="e">
        <f t="shared" ca="1" si="22"/>
        <v>#NUM!</v>
      </c>
    </row>
    <row r="74" spans="1:20" ht="20.25" customHeight="1">
      <c r="A74" s="62"/>
      <c r="B74" s="6" t="e">
        <f t="shared" ca="1" si="8"/>
        <v>#NUM!</v>
      </c>
      <c r="C74" s="117" t="e">
        <f t="shared" ca="1" si="9"/>
        <v>#NUM!</v>
      </c>
      <c r="D74" s="131" t="e">
        <f t="shared" ca="1" si="10"/>
        <v>#NUM!</v>
      </c>
      <c r="E74" s="131" t="e">
        <f t="shared" ca="1" si="11"/>
        <v>#NUM!</v>
      </c>
      <c r="F74" s="137" t="e">
        <f t="shared" ca="1" si="12"/>
        <v>#NUM!</v>
      </c>
      <c r="G74" s="132" t="e">
        <f t="shared" ca="1" si="13"/>
        <v>#NUM!</v>
      </c>
      <c r="H74" s="132" t="e">
        <f t="shared" ca="1" si="14"/>
        <v>#NUM!</v>
      </c>
      <c r="I74" s="131" t="e">
        <f t="shared" ca="1" si="15"/>
        <v>#NUM!</v>
      </c>
      <c r="J74" s="66"/>
      <c r="K74" s="11"/>
      <c r="L74" s="11"/>
      <c r="M74" s="6" t="e">
        <f t="shared" ca="1" si="16"/>
        <v>#NUM!</v>
      </c>
      <c r="N74" s="40" t="str">
        <f t="shared" si="7"/>
        <v>56기 보수</v>
      </c>
      <c r="O74" s="38" t="e">
        <f t="shared" ca="1" si="17"/>
        <v>#NUM!</v>
      </c>
      <c r="P74" s="38" t="e">
        <f t="shared" ca="1" si="18"/>
        <v>#NAME?</v>
      </c>
      <c r="Q74" s="38" t="e">
        <f t="shared" ca="1" si="19"/>
        <v>#NUM!</v>
      </c>
      <c r="R74" s="38" t="e">
        <f t="shared" ca="1" si="20"/>
        <v>#NUM!</v>
      </c>
      <c r="S74" s="38" t="e">
        <f t="shared" ca="1" si="21"/>
        <v>#NUM!</v>
      </c>
      <c r="T74" s="38" t="e">
        <f t="shared" ca="1" si="22"/>
        <v>#NUM!</v>
      </c>
    </row>
    <row r="75" spans="1:20" ht="20.25" customHeight="1">
      <c r="A75" s="62"/>
      <c r="B75" s="6" t="e">
        <f t="shared" ca="1" si="8"/>
        <v>#NUM!</v>
      </c>
      <c r="C75" s="117" t="e">
        <f t="shared" ca="1" si="9"/>
        <v>#NUM!</v>
      </c>
      <c r="D75" s="131" t="e">
        <f t="shared" ca="1" si="10"/>
        <v>#NUM!</v>
      </c>
      <c r="E75" s="131" t="e">
        <f t="shared" ca="1" si="11"/>
        <v>#NUM!</v>
      </c>
      <c r="F75" s="137" t="e">
        <f t="shared" ca="1" si="12"/>
        <v>#NUM!</v>
      </c>
      <c r="G75" s="132" t="e">
        <f t="shared" ca="1" si="13"/>
        <v>#NUM!</v>
      </c>
      <c r="H75" s="132" t="e">
        <f t="shared" ca="1" si="14"/>
        <v>#NUM!</v>
      </c>
      <c r="I75" s="131" t="e">
        <f t="shared" ca="1" si="15"/>
        <v>#NUM!</v>
      </c>
      <c r="J75" s="66"/>
      <c r="K75" s="11"/>
      <c r="L75" s="11"/>
      <c r="M75" s="6" t="e">
        <f t="shared" ca="1" si="16"/>
        <v>#NUM!</v>
      </c>
      <c r="N75" s="40" t="str">
        <f t="shared" si="7"/>
        <v>57기 보수</v>
      </c>
      <c r="O75" s="38" t="e">
        <f t="shared" ca="1" si="17"/>
        <v>#NUM!</v>
      </c>
      <c r="P75" s="38" t="e">
        <f t="shared" ca="1" si="18"/>
        <v>#NAME?</v>
      </c>
      <c r="Q75" s="38" t="e">
        <f t="shared" ca="1" si="19"/>
        <v>#NUM!</v>
      </c>
      <c r="R75" s="38" t="e">
        <f t="shared" ca="1" si="20"/>
        <v>#NUM!</v>
      </c>
      <c r="S75" s="38" t="e">
        <f t="shared" ca="1" si="21"/>
        <v>#NUM!</v>
      </c>
      <c r="T75" s="38" t="e">
        <f t="shared" ca="1" si="22"/>
        <v>#NUM!</v>
      </c>
    </row>
    <row r="76" spans="1:20" ht="20.25" customHeight="1">
      <c r="A76" s="62"/>
      <c r="B76" s="6" t="e">
        <f t="shared" ca="1" si="8"/>
        <v>#NUM!</v>
      </c>
      <c r="C76" s="117" t="e">
        <f t="shared" ca="1" si="9"/>
        <v>#NUM!</v>
      </c>
      <c r="D76" s="131" t="e">
        <f t="shared" ca="1" si="10"/>
        <v>#NUM!</v>
      </c>
      <c r="E76" s="131" t="e">
        <f t="shared" ca="1" si="11"/>
        <v>#NUM!</v>
      </c>
      <c r="F76" s="137" t="e">
        <f t="shared" ca="1" si="12"/>
        <v>#NUM!</v>
      </c>
      <c r="G76" s="132" t="e">
        <f t="shared" ca="1" si="13"/>
        <v>#NUM!</v>
      </c>
      <c r="H76" s="132" t="e">
        <f t="shared" ca="1" si="14"/>
        <v>#NUM!</v>
      </c>
      <c r="I76" s="131" t="e">
        <f t="shared" ca="1" si="15"/>
        <v>#NUM!</v>
      </c>
      <c r="J76" s="66"/>
      <c r="K76" s="11"/>
      <c r="L76" s="11"/>
      <c r="M76" s="6" t="e">
        <f t="shared" ca="1" si="16"/>
        <v>#NUM!</v>
      </c>
      <c r="N76" s="40" t="str">
        <f t="shared" si="7"/>
        <v>58기 보수</v>
      </c>
      <c r="O76" s="38" t="e">
        <f t="shared" ca="1" si="17"/>
        <v>#NUM!</v>
      </c>
      <c r="P76" s="38" t="e">
        <f t="shared" ca="1" si="18"/>
        <v>#NAME?</v>
      </c>
      <c r="Q76" s="38" t="e">
        <f t="shared" ca="1" si="19"/>
        <v>#NUM!</v>
      </c>
      <c r="R76" s="38" t="e">
        <f t="shared" ca="1" si="20"/>
        <v>#NUM!</v>
      </c>
      <c r="S76" s="38" t="e">
        <f t="shared" ca="1" si="21"/>
        <v>#NUM!</v>
      </c>
      <c r="T76" s="38" t="e">
        <f t="shared" ca="1" si="22"/>
        <v>#NUM!</v>
      </c>
    </row>
    <row r="77" spans="1:20" ht="20.25" customHeight="1">
      <c r="A77" s="62"/>
      <c r="B77" s="6" t="e">
        <f t="shared" ca="1" si="8"/>
        <v>#NUM!</v>
      </c>
      <c r="C77" s="117" t="e">
        <f t="shared" ca="1" si="9"/>
        <v>#NUM!</v>
      </c>
      <c r="D77" s="131" t="e">
        <f t="shared" ca="1" si="10"/>
        <v>#NUM!</v>
      </c>
      <c r="E77" s="131" t="e">
        <f t="shared" ca="1" si="11"/>
        <v>#NUM!</v>
      </c>
      <c r="F77" s="137" t="e">
        <f t="shared" ca="1" si="12"/>
        <v>#NUM!</v>
      </c>
      <c r="G77" s="132" t="e">
        <f t="shared" ca="1" si="13"/>
        <v>#NUM!</v>
      </c>
      <c r="H77" s="132" t="e">
        <f t="shared" ca="1" si="14"/>
        <v>#NUM!</v>
      </c>
      <c r="I77" s="131" t="e">
        <f t="shared" ca="1" si="15"/>
        <v>#NUM!</v>
      </c>
      <c r="J77" s="66"/>
      <c r="K77" s="11"/>
      <c r="L77" s="11"/>
      <c r="M77" s="6" t="e">
        <f t="shared" ca="1" si="16"/>
        <v>#NUM!</v>
      </c>
      <c r="N77" s="40" t="str">
        <f t="shared" si="7"/>
        <v>59기 보수</v>
      </c>
      <c r="O77" s="38" t="e">
        <f t="shared" ca="1" si="17"/>
        <v>#NUM!</v>
      </c>
      <c r="P77" s="38" t="e">
        <f t="shared" ca="1" si="18"/>
        <v>#NAME?</v>
      </c>
      <c r="Q77" s="38" t="e">
        <f t="shared" ca="1" si="19"/>
        <v>#NUM!</v>
      </c>
      <c r="R77" s="38" t="e">
        <f t="shared" ca="1" si="20"/>
        <v>#NUM!</v>
      </c>
      <c r="S77" s="38" t="e">
        <f t="shared" ca="1" si="21"/>
        <v>#NUM!</v>
      </c>
      <c r="T77" s="38" t="e">
        <f t="shared" ca="1" si="22"/>
        <v>#NUM!</v>
      </c>
    </row>
    <row r="78" spans="1:20" ht="20.25" customHeight="1">
      <c r="A78" s="62"/>
      <c r="B78" s="6" t="e">
        <f t="shared" ca="1" si="8"/>
        <v>#NUM!</v>
      </c>
      <c r="C78" s="117" t="e">
        <f t="shared" ca="1" si="9"/>
        <v>#NUM!</v>
      </c>
      <c r="D78" s="131" t="e">
        <f t="shared" ca="1" si="10"/>
        <v>#NUM!</v>
      </c>
      <c r="E78" s="131" t="e">
        <f t="shared" ca="1" si="11"/>
        <v>#NUM!</v>
      </c>
      <c r="F78" s="137" t="e">
        <f t="shared" ca="1" si="12"/>
        <v>#NUM!</v>
      </c>
      <c r="G78" s="132" t="e">
        <f t="shared" ca="1" si="13"/>
        <v>#NUM!</v>
      </c>
      <c r="H78" s="132" t="e">
        <f t="shared" ca="1" si="14"/>
        <v>#NUM!</v>
      </c>
      <c r="I78" s="131" t="e">
        <f t="shared" ca="1" si="15"/>
        <v>#NUM!</v>
      </c>
      <c r="J78" s="66"/>
      <c r="K78" s="11"/>
      <c r="L78" s="11"/>
      <c r="M78" s="6" t="e">
        <f t="shared" ca="1" si="16"/>
        <v>#NUM!</v>
      </c>
      <c r="N78" s="40" t="str">
        <f t="shared" si="7"/>
        <v>60기 보수</v>
      </c>
      <c r="O78" s="38" t="e">
        <f t="shared" ca="1" si="17"/>
        <v>#NUM!</v>
      </c>
      <c r="P78" s="38" t="e">
        <f t="shared" ca="1" si="18"/>
        <v>#NAME?</v>
      </c>
      <c r="Q78" s="38" t="e">
        <f t="shared" ca="1" si="19"/>
        <v>#NUM!</v>
      </c>
      <c r="R78" s="38" t="e">
        <f t="shared" ca="1" si="20"/>
        <v>#NUM!</v>
      </c>
      <c r="S78" s="38" t="e">
        <f t="shared" ca="1" si="21"/>
        <v>#NUM!</v>
      </c>
      <c r="T78" s="38" t="e">
        <f t="shared" ca="1" si="22"/>
        <v>#NUM!</v>
      </c>
    </row>
    <row r="79" spans="1:20" ht="20.25" customHeight="1">
      <c r="A79" s="62"/>
      <c r="B79" s="6" t="e">
        <f t="shared" ca="1" si="8"/>
        <v>#NUM!</v>
      </c>
      <c r="C79" s="117" t="e">
        <f t="shared" ca="1" si="9"/>
        <v>#NUM!</v>
      </c>
      <c r="D79" s="131" t="e">
        <f t="shared" ca="1" si="10"/>
        <v>#NUM!</v>
      </c>
      <c r="E79" s="131" t="e">
        <f t="shared" ca="1" si="11"/>
        <v>#NUM!</v>
      </c>
      <c r="F79" s="137" t="e">
        <f t="shared" ca="1" si="12"/>
        <v>#NUM!</v>
      </c>
      <c r="G79" s="132" t="e">
        <f t="shared" ca="1" si="13"/>
        <v>#NUM!</v>
      </c>
      <c r="H79" s="132" t="e">
        <f t="shared" ca="1" si="14"/>
        <v>#NUM!</v>
      </c>
      <c r="I79" s="131" t="e">
        <f t="shared" ca="1" si="15"/>
        <v>#NUM!</v>
      </c>
      <c r="J79" s="66"/>
      <c r="K79" s="11"/>
      <c r="L79" s="11"/>
      <c r="M79" s="6" t="e">
        <f t="shared" ca="1" si="16"/>
        <v>#NUM!</v>
      </c>
      <c r="N79" s="40" t="str">
        <f t="shared" si="7"/>
        <v>61기 보수</v>
      </c>
      <c r="O79" s="38" t="e">
        <f t="shared" ca="1" si="17"/>
        <v>#NUM!</v>
      </c>
      <c r="P79" s="38" t="e">
        <f t="shared" ca="1" si="18"/>
        <v>#NAME?</v>
      </c>
      <c r="Q79" s="38" t="e">
        <f t="shared" ca="1" si="19"/>
        <v>#NUM!</v>
      </c>
      <c r="R79" s="38" t="e">
        <f t="shared" ca="1" si="20"/>
        <v>#NUM!</v>
      </c>
      <c r="S79" s="38" t="e">
        <f t="shared" ca="1" si="21"/>
        <v>#NUM!</v>
      </c>
      <c r="T79" s="38" t="e">
        <f t="shared" ca="1" si="22"/>
        <v>#NUM!</v>
      </c>
    </row>
    <row r="80" spans="1:20" ht="20.25" customHeight="1">
      <c r="A80" s="62"/>
      <c r="B80" s="6" t="e">
        <f t="shared" ca="1" si="8"/>
        <v>#NUM!</v>
      </c>
      <c r="C80" s="117" t="e">
        <f t="shared" ca="1" si="9"/>
        <v>#NUM!</v>
      </c>
      <c r="D80" s="131" t="e">
        <f t="shared" ca="1" si="10"/>
        <v>#NUM!</v>
      </c>
      <c r="E80" s="131" t="e">
        <f t="shared" ca="1" si="11"/>
        <v>#NUM!</v>
      </c>
      <c r="F80" s="137" t="e">
        <f t="shared" ca="1" si="12"/>
        <v>#NUM!</v>
      </c>
      <c r="G80" s="132" t="e">
        <f t="shared" ca="1" si="13"/>
        <v>#NUM!</v>
      </c>
      <c r="H80" s="132" t="e">
        <f t="shared" ca="1" si="14"/>
        <v>#NUM!</v>
      </c>
      <c r="I80" s="131" t="e">
        <f t="shared" ca="1" si="15"/>
        <v>#NUM!</v>
      </c>
      <c r="J80" s="66"/>
      <c r="K80" s="11"/>
      <c r="L80" s="11"/>
      <c r="M80" s="6" t="e">
        <f t="shared" ca="1" si="16"/>
        <v>#NUM!</v>
      </c>
      <c r="N80" s="40" t="str">
        <f t="shared" si="7"/>
        <v>62기 보수</v>
      </c>
      <c r="O80" s="38" t="e">
        <f t="shared" ca="1" si="17"/>
        <v>#NUM!</v>
      </c>
      <c r="P80" s="38" t="e">
        <f t="shared" ca="1" si="18"/>
        <v>#NAME?</v>
      </c>
      <c r="Q80" s="38" t="e">
        <f t="shared" ca="1" si="19"/>
        <v>#NUM!</v>
      </c>
      <c r="R80" s="38" t="e">
        <f t="shared" ca="1" si="20"/>
        <v>#NUM!</v>
      </c>
      <c r="S80" s="38" t="e">
        <f t="shared" ca="1" si="21"/>
        <v>#NUM!</v>
      </c>
      <c r="T80" s="38" t="e">
        <f t="shared" ca="1" si="22"/>
        <v>#NUM!</v>
      </c>
    </row>
    <row r="81" spans="1:20" ht="20.25" customHeight="1">
      <c r="A81" s="62"/>
      <c r="B81" s="6" t="e">
        <f t="shared" ca="1" si="8"/>
        <v>#NUM!</v>
      </c>
      <c r="C81" s="117" t="e">
        <f t="shared" ca="1" si="9"/>
        <v>#NUM!</v>
      </c>
      <c r="D81" s="131" t="e">
        <f t="shared" ca="1" si="10"/>
        <v>#NUM!</v>
      </c>
      <c r="E81" s="131" t="e">
        <f t="shared" ca="1" si="11"/>
        <v>#NUM!</v>
      </c>
      <c r="F81" s="137" t="e">
        <f t="shared" ca="1" si="12"/>
        <v>#NUM!</v>
      </c>
      <c r="G81" s="132" t="e">
        <f t="shared" ca="1" si="13"/>
        <v>#NUM!</v>
      </c>
      <c r="H81" s="132" t="e">
        <f t="shared" ca="1" si="14"/>
        <v>#NUM!</v>
      </c>
      <c r="I81" s="131" t="e">
        <f t="shared" ca="1" si="15"/>
        <v>#NUM!</v>
      </c>
      <c r="J81" s="66"/>
      <c r="K81" s="11"/>
      <c r="L81" s="11"/>
      <c r="M81" s="6" t="e">
        <f t="shared" ca="1" si="16"/>
        <v>#NUM!</v>
      </c>
      <c r="N81" s="40" t="str">
        <f t="shared" si="7"/>
        <v>63기 보수</v>
      </c>
      <c r="O81" s="38" t="e">
        <f t="shared" ca="1" si="17"/>
        <v>#NUM!</v>
      </c>
      <c r="P81" s="38" t="e">
        <f t="shared" ca="1" si="18"/>
        <v>#NAME?</v>
      </c>
      <c r="Q81" s="38" t="e">
        <f t="shared" ca="1" si="19"/>
        <v>#NUM!</v>
      </c>
      <c r="R81" s="38" t="e">
        <f t="shared" ca="1" si="20"/>
        <v>#NUM!</v>
      </c>
      <c r="S81" s="38" t="e">
        <f t="shared" ca="1" si="21"/>
        <v>#NUM!</v>
      </c>
      <c r="T81" s="38" t="e">
        <f t="shared" ca="1" si="22"/>
        <v>#NUM!</v>
      </c>
    </row>
    <row r="82" spans="1:20" ht="20.25" customHeight="1">
      <c r="A82" s="62"/>
      <c r="B82" s="6" t="e">
        <f t="shared" ca="1" si="8"/>
        <v>#NUM!</v>
      </c>
      <c r="C82" s="117" t="e">
        <f t="shared" ca="1" si="9"/>
        <v>#NUM!</v>
      </c>
      <c r="D82" s="131" t="e">
        <f t="shared" ca="1" si="10"/>
        <v>#NUM!</v>
      </c>
      <c r="E82" s="131" t="e">
        <f t="shared" ca="1" si="11"/>
        <v>#NUM!</v>
      </c>
      <c r="F82" s="137" t="e">
        <f t="shared" ca="1" si="12"/>
        <v>#NUM!</v>
      </c>
      <c r="G82" s="132" t="e">
        <f t="shared" ca="1" si="13"/>
        <v>#NUM!</v>
      </c>
      <c r="H82" s="132" t="e">
        <f t="shared" ca="1" si="14"/>
        <v>#NUM!</v>
      </c>
      <c r="I82" s="131" t="e">
        <f t="shared" ca="1" si="15"/>
        <v>#NUM!</v>
      </c>
      <c r="J82" s="66"/>
      <c r="K82" s="11"/>
      <c r="L82" s="11"/>
      <c r="M82" s="6" t="e">
        <f t="shared" ca="1" si="16"/>
        <v>#NUM!</v>
      </c>
      <c r="N82" s="40" t="str">
        <f t="shared" si="7"/>
        <v>64기 보수</v>
      </c>
      <c r="O82" s="38" t="e">
        <f t="shared" ca="1" si="17"/>
        <v>#NUM!</v>
      </c>
      <c r="P82" s="38" t="e">
        <f t="shared" ca="1" si="18"/>
        <v>#NAME?</v>
      </c>
      <c r="Q82" s="38" t="e">
        <f t="shared" ca="1" si="19"/>
        <v>#NUM!</v>
      </c>
      <c r="R82" s="38" t="e">
        <f t="shared" ca="1" si="20"/>
        <v>#NUM!</v>
      </c>
      <c r="S82" s="38" t="e">
        <f t="shared" ca="1" si="21"/>
        <v>#NUM!</v>
      </c>
      <c r="T82" s="38" t="e">
        <f t="shared" ca="1" si="22"/>
        <v>#NUM!</v>
      </c>
    </row>
    <row r="83" spans="1:20" ht="20.25" customHeight="1">
      <c r="A83" s="62"/>
      <c r="B83" s="6" t="e">
        <f t="shared" ca="1" si="8"/>
        <v>#NUM!</v>
      </c>
      <c r="C83" s="117" t="e">
        <f t="shared" ca="1" si="9"/>
        <v>#NUM!</v>
      </c>
      <c r="D83" s="131" t="e">
        <f t="shared" ca="1" si="10"/>
        <v>#NUM!</v>
      </c>
      <c r="E83" s="131" t="e">
        <f t="shared" ca="1" si="11"/>
        <v>#NUM!</v>
      </c>
      <c r="F83" s="137" t="e">
        <f t="shared" ca="1" si="12"/>
        <v>#NUM!</v>
      </c>
      <c r="G83" s="132" t="e">
        <f t="shared" ca="1" si="13"/>
        <v>#NUM!</v>
      </c>
      <c r="H83" s="132" t="e">
        <f t="shared" ca="1" si="14"/>
        <v>#NUM!</v>
      </c>
      <c r="I83" s="131" t="e">
        <f t="shared" ca="1" si="15"/>
        <v>#NUM!</v>
      </c>
      <c r="J83" s="66"/>
      <c r="K83" s="11"/>
      <c r="L83" s="11"/>
      <c r="M83" s="6" t="e">
        <f t="shared" ca="1" si="16"/>
        <v>#NUM!</v>
      </c>
      <c r="N83" s="40" t="str">
        <f t="shared" si="7"/>
        <v>65기 보수</v>
      </c>
      <c r="O83" s="38" t="e">
        <f t="shared" ca="1" si="17"/>
        <v>#NUM!</v>
      </c>
      <c r="P83" s="38" t="e">
        <f t="shared" ca="1" si="18"/>
        <v>#NAME?</v>
      </c>
      <c r="Q83" s="38" t="e">
        <f t="shared" ca="1" si="19"/>
        <v>#NUM!</v>
      </c>
      <c r="R83" s="38" t="e">
        <f t="shared" ca="1" si="20"/>
        <v>#NUM!</v>
      </c>
      <c r="S83" s="38" t="e">
        <f t="shared" ca="1" si="21"/>
        <v>#NUM!</v>
      </c>
      <c r="T83" s="38" t="e">
        <f t="shared" ca="1" si="22"/>
        <v>#NUM!</v>
      </c>
    </row>
    <row r="84" spans="1:20" ht="20.25" customHeight="1">
      <c r="A84" s="62"/>
      <c r="B84" s="6" t="e">
        <f t="shared" ca="1" si="8"/>
        <v>#NUM!</v>
      </c>
      <c r="C84" s="117" t="e">
        <f t="shared" ca="1" si="9"/>
        <v>#NUM!</v>
      </c>
      <c r="D84" s="131" t="e">
        <f t="shared" ca="1" si="10"/>
        <v>#NUM!</v>
      </c>
      <c r="E84" s="131" t="e">
        <f t="shared" ca="1" si="11"/>
        <v>#NUM!</v>
      </c>
      <c r="F84" s="137" t="e">
        <f t="shared" ca="1" si="12"/>
        <v>#NUM!</v>
      </c>
      <c r="G84" s="132" t="e">
        <f t="shared" ca="1" si="13"/>
        <v>#NUM!</v>
      </c>
      <c r="H84" s="132" t="e">
        <f t="shared" ca="1" si="14"/>
        <v>#NUM!</v>
      </c>
      <c r="I84" s="131" t="e">
        <f t="shared" ca="1" si="15"/>
        <v>#NUM!</v>
      </c>
      <c r="J84" s="66"/>
      <c r="K84" s="11"/>
      <c r="L84" s="11"/>
      <c r="M84" s="6" t="e">
        <f t="shared" ca="1" si="16"/>
        <v>#NUM!</v>
      </c>
      <c r="N84" s="40" t="str">
        <f t="shared" ref="N84:N147" si="23">ROW()-18&amp;"기 보수"</f>
        <v>66기 보수</v>
      </c>
      <c r="O84" s="38" t="e">
        <f t="shared" ca="1" si="17"/>
        <v>#NUM!</v>
      </c>
      <c r="P84" s="38" t="e">
        <f t="shared" ca="1" si="18"/>
        <v>#NAME?</v>
      </c>
      <c r="Q84" s="38" t="e">
        <f t="shared" ca="1" si="19"/>
        <v>#NUM!</v>
      </c>
      <c r="R84" s="38" t="e">
        <f t="shared" ca="1" si="20"/>
        <v>#NUM!</v>
      </c>
      <c r="S84" s="38" t="e">
        <f t="shared" ca="1" si="21"/>
        <v>#NUM!</v>
      </c>
      <c r="T84" s="38" t="e">
        <f t="shared" ca="1" si="22"/>
        <v>#NUM!</v>
      </c>
    </row>
    <row r="85" spans="1:20" ht="20.25" customHeight="1">
      <c r="A85" s="62"/>
      <c r="B85" s="6" t="e">
        <f t="shared" ref="B85:B148" ca="1" si="24">IF(B84&lt;$C$8,COUPNCD(B84,$C$8,IF($C$10=O$9,1,IF($C$10=O$8,2,4))),"")</f>
        <v>#NUM!</v>
      </c>
      <c r="C85" s="117" t="e">
        <f t="shared" ref="C85:C148" ca="1" si="25">IF(B85=$C$8,$E$9,"")</f>
        <v>#NUM!</v>
      </c>
      <c r="D85" s="131" t="e">
        <f t="shared" ref="D85:D148" ca="1" si="26">IF(B85="","",IF($C$13="krw",(TRUNC(($C$9*$E$9)/(IF($C$10=$O$9,1,IF($C$10=$O$8,2,4))),2)*$C$14),(TRUNC(($C$9*$E$9)/(IF($C$10=$O$9,1,IF($C$10=$O$8,2,4))),2))))</f>
        <v>#NUM!</v>
      </c>
      <c r="E85" s="131" t="e">
        <f t="shared" ref="E85:E148" ca="1" si="27">IF(B85="","",D85)</f>
        <v>#NUM!</v>
      </c>
      <c r="F85" s="137" t="e">
        <f t="shared" ref="F85:F148" ca="1" si="28">IF(B85="","",IF(E85&gt;R85,E85-R85,0))</f>
        <v>#NUM!</v>
      </c>
      <c r="G85" s="132" t="e">
        <f t="shared" ref="G85:G148" ca="1" si="29">IF(B85="","",IF($C$16="비과세(0%)",0,IF($C$16="표준(소득세14%+지방세)",ROUNDDOWN(F85*14%,2),ROUNDDOWN(F85*0%,-1))))</f>
        <v>#NUM!</v>
      </c>
      <c r="H85" s="132" t="e">
        <f t="shared" ref="H85:H148" ca="1" si="30">IF(B85="","",IF($C$16="비과세(0%)",0,IF($C$16="표준(소득세14%+지방세)",ROUNDDOWN(G85*10%,2),IF($E$4="개인",F85*1.4%,F85*2.8%))))</f>
        <v>#NUM!</v>
      </c>
      <c r="I85" s="131" t="e">
        <f t="shared" ref="I85:I148" ca="1" si="31">IF(B85="","",D85-P85-G85-H85)</f>
        <v>#NUM!</v>
      </c>
      <c r="J85" s="66"/>
      <c r="K85" s="11"/>
      <c r="L85" s="11"/>
      <c r="M85" s="6" t="e">
        <f t="shared" ref="M85:M148" ca="1" si="32">IF(B84&lt;$C$8,COUPNCD(M84,$C$8,IF($C$10=$O$9,1,IF($C$10=$O$8,2,4))),"")</f>
        <v>#NUM!</v>
      </c>
      <c r="N85" s="40" t="str">
        <f t="shared" si="23"/>
        <v>67기 보수</v>
      </c>
      <c r="O85" s="38" t="e">
        <f t="shared" ref="O85:O148" ca="1" si="33">S84</f>
        <v>#NUM!</v>
      </c>
      <c r="P85" s="38" t="e">
        <f t="shared" ref="P85:P148" ca="1" si="34">$I$7*$G$8/365*(_xlfn.DAYS(B85,M85))</f>
        <v>#NAME?</v>
      </c>
      <c r="Q85" s="38" t="e">
        <f t="shared" ref="Q85:Q148" ca="1" si="35">+T84+P85</f>
        <v>#NUM!</v>
      </c>
      <c r="R85" s="38" t="e">
        <f t="shared" ref="R85:R148" ca="1" si="36">+O85+Q85</f>
        <v>#NUM!</v>
      </c>
      <c r="S85" s="38" t="e">
        <f t="shared" ref="S85:S148" ca="1" si="37">IF(E85&lt;O85,O85-E85,0)</f>
        <v>#NUM!</v>
      </c>
      <c r="T85" s="38" t="e">
        <f t="shared" ref="T85:T148" ca="1" si="38">IF(S85&gt;0,Q85,IF(E85&gt;R85,0,Q85-(E85-O85)))</f>
        <v>#NUM!</v>
      </c>
    </row>
    <row r="86" spans="1:20" ht="20.25" customHeight="1">
      <c r="A86" s="62"/>
      <c r="B86" s="6" t="e">
        <f t="shared" ca="1" si="24"/>
        <v>#NUM!</v>
      </c>
      <c r="C86" s="117" t="e">
        <f t="shared" ca="1" si="25"/>
        <v>#NUM!</v>
      </c>
      <c r="D86" s="131" t="e">
        <f t="shared" ca="1" si="26"/>
        <v>#NUM!</v>
      </c>
      <c r="E86" s="131" t="e">
        <f t="shared" ca="1" si="27"/>
        <v>#NUM!</v>
      </c>
      <c r="F86" s="137" t="e">
        <f t="shared" ca="1" si="28"/>
        <v>#NUM!</v>
      </c>
      <c r="G86" s="132" t="e">
        <f t="shared" ca="1" si="29"/>
        <v>#NUM!</v>
      </c>
      <c r="H86" s="132" t="e">
        <f t="shared" ca="1" si="30"/>
        <v>#NUM!</v>
      </c>
      <c r="I86" s="131" t="e">
        <f t="shared" ca="1" si="31"/>
        <v>#NUM!</v>
      </c>
      <c r="J86" s="66"/>
      <c r="K86" s="11"/>
      <c r="L86" s="11"/>
      <c r="M86" s="6" t="e">
        <f t="shared" ca="1" si="32"/>
        <v>#NUM!</v>
      </c>
      <c r="N86" s="40" t="str">
        <f t="shared" si="23"/>
        <v>68기 보수</v>
      </c>
      <c r="O86" s="38" t="e">
        <f t="shared" ca="1" si="33"/>
        <v>#NUM!</v>
      </c>
      <c r="P86" s="38" t="e">
        <f t="shared" ca="1" si="34"/>
        <v>#NAME?</v>
      </c>
      <c r="Q86" s="38" t="e">
        <f t="shared" ca="1" si="35"/>
        <v>#NUM!</v>
      </c>
      <c r="R86" s="38" t="e">
        <f t="shared" ca="1" si="36"/>
        <v>#NUM!</v>
      </c>
      <c r="S86" s="38" t="e">
        <f t="shared" ca="1" si="37"/>
        <v>#NUM!</v>
      </c>
      <c r="T86" s="38" t="e">
        <f t="shared" ca="1" si="38"/>
        <v>#NUM!</v>
      </c>
    </row>
    <row r="87" spans="1:20" ht="20.25" customHeight="1">
      <c r="A87" s="62"/>
      <c r="B87" s="6" t="e">
        <f t="shared" ca="1" si="24"/>
        <v>#NUM!</v>
      </c>
      <c r="C87" s="117" t="e">
        <f t="shared" ca="1" si="25"/>
        <v>#NUM!</v>
      </c>
      <c r="D87" s="131" t="e">
        <f t="shared" ca="1" si="26"/>
        <v>#NUM!</v>
      </c>
      <c r="E87" s="131" t="e">
        <f t="shared" ca="1" si="27"/>
        <v>#NUM!</v>
      </c>
      <c r="F87" s="137" t="e">
        <f t="shared" ca="1" si="28"/>
        <v>#NUM!</v>
      </c>
      <c r="G87" s="132" t="e">
        <f t="shared" ca="1" si="29"/>
        <v>#NUM!</v>
      </c>
      <c r="H87" s="132" t="e">
        <f t="shared" ca="1" si="30"/>
        <v>#NUM!</v>
      </c>
      <c r="I87" s="131" t="e">
        <f t="shared" ca="1" si="31"/>
        <v>#NUM!</v>
      </c>
      <c r="J87" s="66"/>
      <c r="K87" s="11"/>
      <c r="L87" s="11"/>
      <c r="M87" s="6" t="e">
        <f t="shared" ca="1" si="32"/>
        <v>#NUM!</v>
      </c>
      <c r="N87" s="40" t="str">
        <f t="shared" si="23"/>
        <v>69기 보수</v>
      </c>
      <c r="O87" s="38" t="e">
        <f t="shared" ca="1" si="33"/>
        <v>#NUM!</v>
      </c>
      <c r="P87" s="38" t="e">
        <f t="shared" ca="1" si="34"/>
        <v>#NAME?</v>
      </c>
      <c r="Q87" s="38" t="e">
        <f t="shared" ca="1" si="35"/>
        <v>#NUM!</v>
      </c>
      <c r="R87" s="38" t="e">
        <f t="shared" ca="1" si="36"/>
        <v>#NUM!</v>
      </c>
      <c r="S87" s="38" t="e">
        <f t="shared" ca="1" si="37"/>
        <v>#NUM!</v>
      </c>
      <c r="T87" s="38" t="e">
        <f t="shared" ca="1" si="38"/>
        <v>#NUM!</v>
      </c>
    </row>
    <row r="88" spans="1:20" ht="20.25" customHeight="1">
      <c r="A88" s="62"/>
      <c r="B88" s="6" t="e">
        <f t="shared" ca="1" si="24"/>
        <v>#NUM!</v>
      </c>
      <c r="C88" s="117" t="e">
        <f t="shared" ca="1" si="25"/>
        <v>#NUM!</v>
      </c>
      <c r="D88" s="131" t="e">
        <f t="shared" ca="1" si="26"/>
        <v>#NUM!</v>
      </c>
      <c r="E88" s="131" t="e">
        <f t="shared" ca="1" si="27"/>
        <v>#NUM!</v>
      </c>
      <c r="F88" s="137" t="e">
        <f t="shared" ca="1" si="28"/>
        <v>#NUM!</v>
      </c>
      <c r="G88" s="132" t="e">
        <f t="shared" ca="1" si="29"/>
        <v>#NUM!</v>
      </c>
      <c r="H88" s="132" t="e">
        <f t="shared" ca="1" si="30"/>
        <v>#NUM!</v>
      </c>
      <c r="I88" s="131" t="e">
        <f t="shared" ca="1" si="31"/>
        <v>#NUM!</v>
      </c>
      <c r="J88" s="66"/>
      <c r="K88" s="11"/>
      <c r="L88" s="11"/>
      <c r="M88" s="6" t="e">
        <f t="shared" ca="1" si="32"/>
        <v>#NUM!</v>
      </c>
      <c r="N88" s="40" t="str">
        <f t="shared" si="23"/>
        <v>70기 보수</v>
      </c>
      <c r="O88" s="38" t="e">
        <f t="shared" ca="1" si="33"/>
        <v>#NUM!</v>
      </c>
      <c r="P88" s="38" t="e">
        <f t="shared" ca="1" si="34"/>
        <v>#NAME?</v>
      </c>
      <c r="Q88" s="38" t="e">
        <f t="shared" ca="1" si="35"/>
        <v>#NUM!</v>
      </c>
      <c r="R88" s="38" t="e">
        <f t="shared" ca="1" si="36"/>
        <v>#NUM!</v>
      </c>
      <c r="S88" s="38" t="e">
        <f t="shared" ca="1" si="37"/>
        <v>#NUM!</v>
      </c>
      <c r="T88" s="38" t="e">
        <f t="shared" ca="1" si="38"/>
        <v>#NUM!</v>
      </c>
    </row>
    <row r="89" spans="1:20" ht="20.25" customHeight="1">
      <c r="A89" s="62"/>
      <c r="B89" s="6" t="e">
        <f t="shared" ca="1" si="24"/>
        <v>#NUM!</v>
      </c>
      <c r="C89" s="117" t="e">
        <f t="shared" ca="1" si="25"/>
        <v>#NUM!</v>
      </c>
      <c r="D89" s="131" t="e">
        <f t="shared" ca="1" si="26"/>
        <v>#NUM!</v>
      </c>
      <c r="E89" s="131" t="e">
        <f t="shared" ca="1" si="27"/>
        <v>#NUM!</v>
      </c>
      <c r="F89" s="137" t="e">
        <f t="shared" ca="1" si="28"/>
        <v>#NUM!</v>
      </c>
      <c r="G89" s="132" t="e">
        <f t="shared" ca="1" si="29"/>
        <v>#NUM!</v>
      </c>
      <c r="H89" s="132" t="e">
        <f t="shared" ca="1" si="30"/>
        <v>#NUM!</v>
      </c>
      <c r="I89" s="131" t="e">
        <f t="shared" ca="1" si="31"/>
        <v>#NUM!</v>
      </c>
      <c r="J89" s="66"/>
      <c r="K89" s="11"/>
      <c r="L89" s="11"/>
      <c r="M89" s="6" t="e">
        <f t="shared" ca="1" si="32"/>
        <v>#NUM!</v>
      </c>
      <c r="N89" s="40" t="str">
        <f t="shared" si="23"/>
        <v>71기 보수</v>
      </c>
      <c r="O89" s="38" t="e">
        <f t="shared" ca="1" si="33"/>
        <v>#NUM!</v>
      </c>
      <c r="P89" s="38" t="e">
        <f t="shared" ca="1" si="34"/>
        <v>#NAME?</v>
      </c>
      <c r="Q89" s="38" t="e">
        <f t="shared" ca="1" si="35"/>
        <v>#NUM!</v>
      </c>
      <c r="R89" s="38" t="e">
        <f t="shared" ca="1" si="36"/>
        <v>#NUM!</v>
      </c>
      <c r="S89" s="38" t="e">
        <f t="shared" ca="1" si="37"/>
        <v>#NUM!</v>
      </c>
      <c r="T89" s="38" t="e">
        <f t="shared" ca="1" si="38"/>
        <v>#NUM!</v>
      </c>
    </row>
    <row r="90" spans="1:20" ht="20.25" customHeight="1">
      <c r="A90" s="62"/>
      <c r="B90" s="6" t="e">
        <f t="shared" ca="1" si="24"/>
        <v>#NUM!</v>
      </c>
      <c r="C90" s="117" t="e">
        <f t="shared" ca="1" si="25"/>
        <v>#NUM!</v>
      </c>
      <c r="D90" s="131" t="e">
        <f t="shared" ca="1" si="26"/>
        <v>#NUM!</v>
      </c>
      <c r="E90" s="131" t="e">
        <f t="shared" ca="1" si="27"/>
        <v>#NUM!</v>
      </c>
      <c r="F90" s="137" t="e">
        <f t="shared" ca="1" si="28"/>
        <v>#NUM!</v>
      </c>
      <c r="G90" s="132" t="e">
        <f t="shared" ca="1" si="29"/>
        <v>#NUM!</v>
      </c>
      <c r="H90" s="132" t="e">
        <f t="shared" ca="1" si="30"/>
        <v>#NUM!</v>
      </c>
      <c r="I90" s="131" t="e">
        <f t="shared" ca="1" si="31"/>
        <v>#NUM!</v>
      </c>
      <c r="J90" s="66"/>
      <c r="K90" s="11"/>
      <c r="L90" s="11"/>
      <c r="M90" s="6" t="e">
        <f t="shared" ca="1" si="32"/>
        <v>#NUM!</v>
      </c>
      <c r="N90" s="40" t="str">
        <f t="shared" si="23"/>
        <v>72기 보수</v>
      </c>
      <c r="O90" s="38" t="e">
        <f t="shared" ca="1" si="33"/>
        <v>#NUM!</v>
      </c>
      <c r="P90" s="38" t="e">
        <f t="shared" ca="1" si="34"/>
        <v>#NAME?</v>
      </c>
      <c r="Q90" s="38" t="e">
        <f t="shared" ca="1" si="35"/>
        <v>#NUM!</v>
      </c>
      <c r="R90" s="38" t="e">
        <f t="shared" ca="1" si="36"/>
        <v>#NUM!</v>
      </c>
      <c r="S90" s="38" t="e">
        <f t="shared" ca="1" si="37"/>
        <v>#NUM!</v>
      </c>
      <c r="T90" s="38" t="e">
        <f t="shared" ca="1" si="38"/>
        <v>#NUM!</v>
      </c>
    </row>
    <row r="91" spans="1:20" ht="20.25" customHeight="1">
      <c r="A91" s="62"/>
      <c r="B91" s="6" t="e">
        <f t="shared" ca="1" si="24"/>
        <v>#NUM!</v>
      </c>
      <c r="C91" s="117" t="e">
        <f t="shared" ca="1" si="25"/>
        <v>#NUM!</v>
      </c>
      <c r="D91" s="131" t="e">
        <f t="shared" ca="1" si="26"/>
        <v>#NUM!</v>
      </c>
      <c r="E91" s="131" t="e">
        <f t="shared" ca="1" si="27"/>
        <v>#NUM!</v>
      </c>
      <c r="F91" s="137" t="e">
        <f t="shared" ca="1" si="28"/>
        <v>#NUM!</v>
      </c>
      <c r="G91" s="132" t="e">
        <f t="shared" ca="1" si="29"/>
        <v>#NUM!</v>
      </c>
      <c r="H91" s="132" t="e">
        <f t="shared" ca="1" si="30"/>
        <v>#NUM!</v>
      </c>
      <c r="I91" s="131" t="e">
        <f t="shared" ca="1" si="31"/>
        <v>#NUM!</v>
      </c>
      <c r="J91" s="66"/>
      <c r="K91" s="11"/>
      <c r="L91" s="11"/>
      <c r="M91" s="6" t="e">
        <f t="shared" ca="1" si="32"/>
        <v>#NUM!</v>
      </c>
      <c r="N91" s="40" t="str">
        <f t="shared" si="23"/>
        <v>73기 보수</v>
      </c>
      <c r="O91" s="38" t="e">
        <f t="shared" ca="1" si="33"/>
        <v>#NUM!</v>
      </c>
      <c r="P91" s="38" t="e">
        <f t="shared" ca="1" si="34"/>
        <v>#NAME?</v>
      </c>
      <c r="Q91" s="38" t="e">
        <f t="shared" ca="1" si="35"/>
        <v>#NUM!</v>
      </c>
      <c r="R91" s="38" t="e">
        <f t="shared" ca="1" si="36"/>
        <v>#NUM!</v>
      </c>
      <c r="S91" s="38" t="e">
        <f t="shared" ca="1" si="37"/>
        <v>#NUM!</v>
      </c>
      <c r="T91" s="38" t="e">
        <f t="shared" ca="1" si="38"/>
        <v>#NUM!</v>
      </c>
    </row>
    <row r="92" spans="1:20" ht="20.25" customHeight="1">
      <c r="A92" s="62"/>
      <c r="B92" s="6" t="e">
        <f t="shared" ca="1" si="24"/>
        <v>#NUM!</v>
      </c>
      <c r="C92" s="117" t="e">
        <f t="shared" ca="1" si="25"/>
        <v>#NUM!</v>
      </c>
      <c r="D92" s="131" t="e">
        <f t="shared" ca="1" si="26"/>
        <v>#NUM!</v>
      </c>
      <c r="E92" s="131" t="e">
        <f t="shared" ca="1" si="27"/>
        <v>#NUM!</v>
      </c>
      <c r="F92" s="137" t="e">
        <f t="shared" ca="1" si="28"/>
        <v>#NUM!</v>
      </c>
      <c r="G92" s="132" t="e">
        <f t="shared" ca="1" si="29"/>
        <v>#NUM!</v>
      </c>
      <c r="H92" s="132" t="e">
        <f t="shared" ca="1" si="30"/>
        <v>#NUM!</v>
      </c>
      <c r="I92" s="131" t="e">
        <f t="shared" ca="1" si="31"/>
        <v>#NUM!</v>
      </c>
      <c r="J92" s="66"/>
      <c r="K92" s="11"/>
      <c r="L92" s="11"/>
      <c r="M92" s="6" t="e">
        <f t="shared" ca="1" si="32"/>
        <v>#NUM!</v>
      </c>
      <c r="N92" s="40" t="str">
        <f t="shared" si="23"/>
        <v>74기 보수</v>
      </c>
      <c r="O92" s="38" t="e">
        <f t="shared" ca="1" si="33"/>
        <v>#NUM!</v>
      </c>
      <c r="P92" s="38" t="e">
        <f t="shared" ca="1" si="34"/>
        <v>#NAME?</v>
      </c>
      <c r="Q92" s="38" t="e">
        <f t="shared" ca="1" si="35"/>
        <v>#NUM!</v>
      </c>
      <c r="R92" s="38" t="e">
        <f t="shared" ca="1" si="36"/>
        <v>#NUM!</v>
      </c>
      <c r="S92" s="38" t="e">
        <f t="shared" ca="1" si="37"/>
        <v>#NUM!</v>
      </c>
      <c r="T92" s="38" t="e">
        <f t="shared" ca="1" si="38"/>
        <v>#NUM!</v>
      </c>
    </row>
    <row r="93" spans="1:20" ht="20.25" customHeight="1">
      <c r="A93" s="62"/>
      <c r="B93" s="6" t="e">
        <f t="shared" ca="1" si="24"/>
        <v>#NUM!</v>
      </c>
      <c r="C93" s="117" t="e">
        <f t="shared" ca="1" si="25"/>
        <v>#NUM!</v>
      </c>
      <c r="D93" s="131" t="e">
        <f t="shared" ca="1" si="26"/>
        <v>#NUM!</v>
      </c>
      <c r="E93" s="131" t="e">
        <f t="shared" ca="1" si="27"/>
        <v>#NUM!</v>
      </c>
      <c r="F93" s="137" t="e">
        <f t="shared" ca="1" si="28"/>
        <v>#NUM!</v>
      </c>
      <c r="G93" s="132" t="e">
        <f t="shared" ca="1" si="29"/>
        <v>#NUM!</v>
      </c>
      <c r="H93" s="132" t="e">
        <f t="shared" ca="1" si="30"/>
        <v>#NUM!</v>
      </c>
      <c r="I93" s="131" t="e">
        <f t="shared" ca="1" si="31"/>
        <v>#NUM!</v>
      </c>
      <c r="J93" s="66"/>
      <c r="K93" s="11"/>
      <c r="L93" s="11"/>
      <c r="M93" s="6" t="e">
        <f t="shared" ca="1" si="32"/>
        <v>#NUM!</v>
      </c>
      <c r="N93" s="40" t="str">
        <f t="shared" si="23"/>
        <v>75기 보수</v>
      </c>
      <c r="O93" s="38" t="e">
        <f t="shared" ca="1" si="33"/>
        <v>#NUM!</v>
      </c>
      <c r="P93" s="38" t="e">
        <f t="shared" ca="1" si="34"/>
        <v>#NAME?</v>
      </c>
      <c r="Q93" s="38" t="e">
        <f t="shared" ca="1" si="35"/>
        <v>#NUM!</v>
      </c>
      <c r="R93" s="38" t="e">
        <f t="shared" ca="1" si="36"/>
        <v>#NUM!</v>
      </c>
      <c r="S93" s="38" t="e">
        <f t="shared" ca="1" si="37"/>
        <v>#NUM!</v>
      </c>
      <c r="T93" s="38" t="e">
        <f t="shared" ca="1" si="38"/>
        <v>#NUM!</v>
      </c>
    </row>
    <row r="94" spans="1:20" ht="20.25" customHeight="1">
      <c r="A94" s="62"/>
      <c r="B94" s="6" t="e">
        <f t="shared" ca="1" si="24"/>
        <v>#NUM!</v>
      </c>
      <c r="C94" s="117" t="e">
        <f t="shared" ca="1" si="25"/>
        <v>#NUM!</v>
      </c>
      <c r="D94" s="131" t="e">
        <f t="shared" ca="1" si="26"/>
        <v>#NUM!</v>
      </c>
      <c r="E94" s="131" t="e">
        <f t="shared" ca="1" si="27"/>
        <v>#NUM!</v>
      </c>
      <c r="F94" s="137" t="e">
        <f t="shared" ca="1" si="28"/>
        <v>#NUM!</v>
      </c>
      <c r="G94" s="132" t="e">
        <f t="shared" ca="1" si="29"/>
        <v>#NUM!</v>
      </c>
      <c r="H94" s="132" t="e">
        <f t="shared" ca="1" si="30"/>
        <v>#NUM!</v>
      </c>
      <c r="I94" s="131" t="e">
        <f t="shared" ca="1" si="31"/>
        <v>#NUM!</v>
      </c>
      <c r="J94" s="66"/>
      <c r="K94" s="11"/>
      <c r="L94" s="11"/>
      <c r="M94" s="6" t="e">
        <f t="shared" ca="1" si="32"/>
        <v>#NUM!</v>
      </c>
      <c r="N94" s="40" t="str">
        <f t="shared" si="23"/>
        <v>76기 보수</v>
      </c>
      <c r="O94" s="38" t="e">
        <f t="shared" ca="1" si="33"/>
        <v>#NUM!</v>
      </c>
      <c r="P94" s="38" t="e">
        <f t="shared" ca="1" si="34"/>
        <v>#NAME?</v>
      </c>
      <c r="Q94" s="38" t="e">
        <f t="shared" ca="1" si="35"/>
        <v>#NUM!</v>
      </c>
      <c r="R94" s="38" t="e">
        <f t="shared" ca="1" si="36"/>
        <v>#NUM!</v>
      </c>
      <c r="S94" s="38" t="e">
        <f t="shared" ca="1" si="37"/>
        <v>#NUM!</v>
      </c>
      <c r="T94" s="38" t="e">
        <f t="shared" ca="1" si="38"/>
        <v>#NUM!</v>
      </c>
    </row>
    <row r="95" spans="1:20" ht="20.25" customHeight="1">
      <c r="A95" s="62"/>
      <c r="B95" s="6" t="e">
        <f t="shared" ca="1" si="24"/>
        <v>#NUM!</v>
      </c>
      <c r="C95" s="117" t="e">
        <f t="shared" ca="1" si="25"/>
        <v>#NUM!</v>
      </c>
      <c r="D95" s="131" t="e">
        <f t="shared" ca="1" si="26"/>
        <v>#NUM!</v>
      </c>
      <c r="E95" s="131" t="e">
        <f t="shared" ca="1" si="27"/>
        <v>#NUM!</v>
      </c>
      <c r="F95" s="137" t="e">
        <f t="shared" ca="1" si="28"/>
        <v>#NUM!</v>
      </c>
      <c r="G95" s="132" t="e">
        <f t="shared" ca="1" si="29"/>
        <v>#NUM!</v>
      </c>
      <c r="H95" s="132" t="e">
        <f t="shared" ca="1" si="30"/>
        <v>#NUM!</v>
      </c>
      <c r="I95" s="131" t="e">
        <f t="shared" ca="1" si="31"/>
        <v>#NUM!</v>
      </c>
      <c r="J95" s="66"/>
      <c r="K95" s="11"/>
      <c r="L95" s="11"/>
      <c r="M95" s="6" t="e">
        <f t="shared" ca="1" si="32"/>
        <v>#NUM!</v>
      </c>
      <c r="N95" s="40" t="str">
        <f t="shared" si="23"/>
        <v>77기 보수</v>
      </c>
      <c r="O95" s="38" t="e">
        <f t="shared" ca="1" si="33"/>
        <v>#NUM!</v>
      </c>
      <c r="P95" s="38" t="e">
        <f t="shared" ca="1" si="34"/>
        <v>#NAME?</v>
      </c>
      <c r="Q95" s="38" t="e">
        <f t="shared" ca="1" si="35"/>
        <v>#NUM!</v>
      </c>
      <c r="R95" s="38" t="e">
        <f t="shared" ca="1" si="36"/>
        <v>#NUM!</v>
      </c>
      <c r="S95" s="38" t="e">
        <f t="shared" ca="1" si="37"/>
        <v>#NUM!</v>
      </c>
      <c r="T95" s="38" t="e">
        <f t="shared" ca="1" si="38"/>
        <v>#NUM!</v>
      </c>
    </row>
    <row r="96" spans="1:20" ht="20.25" customHeight="1">
      <c r="A96" s="62"/>
      <c r="B96" s="6" t="e">
        <f t="shared" ca="1" si="24"/>
        <v>#NUM!</v>
      </c>
      <c r="C96" s="117" t="e">
        <f t="shared" ca="1" si="25"/>
        <v>#NUM!</v>
      </c>
      <c r="D96" s="131" t="e">
        <f t="shared" ca="1" si="26"/>
        <v>#NUM!</v>
      </c>
      <c r="E96" s="131" t="e">
        <f t="shared" ca="1" si="27"/>
        <v>#NUM!</v>
      </c>
      <c r="F96" s="137" t="e">
        <f t="shared" ca="1" si="28"/>
        <v>#NUM!</v>
      </c>
      <c r="G96" s="132" t="e">
        <f t="shared" ca="1" si="29"/>
        <v>#NUM!</v>
      </c>
      <c r="H96" s="132" t="e">
        <f t="shared" ca="1" si="30"/>
        <v>#NUM!</v>
      </c>
      <c r="I96" s="131" t="e">
        <f t="shared" ca="1" si="31"/>
        <v>#NUM!</v>
      </c>
      <c r="J96" s="66"/>
      <c r="K96" s="11"/>
      <c r="L96" s="11"/>
      <c r="M96" s="6" t="e">
        <f t="shared" ca="1" si="32"/>
        <v>#NUM!</v>
      </c>
      <c r="N96" s="40" t="str">
        <f t="shared" si="23"/>
        <v>78기 보수</v>
      </c>
      <c r="O96" s="38" t="e">
        <f t="shared" ca="1" si="33"/>
        <v>#NUM!</v>
      </c>
      <c r="P96" s="38" t="e">
        <f t="shared" ca="1" si="34"/>
        <v>#NAME?</v>
      </c>
      <c r="Q96" s="38" t="e">
        <f t="shared" ca="1" si="35"/>
        <v>#NUM!</v>
      </c>
      <c r="R96" s="38" t="e">
        <f t="shared" ca="1" si="36"/>
        <v>#NUM!</v>
      </c>
      <c r="S96" s="38" t="e">
        <f t="shared" ca="1" si="37"/>
        <v>#NUM!</v>
      </c>
      <c r="T96" s="38" t="e">
        <f t="shared" ca="1" si="38"/>
        <v>#NUM!</v>
      </c>
    </row>
    <row r="97" spans="1:20" ht="20.25" customHeight="1">
      <c r="A97" s="62"/>
      <c r="B97" s="6" t="e">
        <f t="shared" ca="1" si="24"/>
        <v>#NUM!</v>
      </c>
      <c r="C97" s="117" t="e">
        <f t="shared" ca="1" si="25"/>
        <v>#NUM!</v>
      </c>
      <c r="D97" s="131" t="e">
        <f t="shared" ca="1" si="26"/>
        <v>#NUM!</v>
      </c>
      <c r="E97" s="131" t="e">
        <f t="shared" ca="1" si="27"/>
        <v>#NUM!</v>
      </c>
      <c r="F97" s="137" t="e">
        <f t="shared" ca="1" si="28"/>
        <v>#NUM!</v>
      </c>
      <c r="G97" s="132" t="e">
        <f t="shared" ca="1" si="29"/>
        <v>#NUM!</v>
      </c>
      <c r="H97" s="132" t="e">
        <f t="shared" ca="1" si="30"/>
        <v>#NUM!</v>
      </c>
      <c r="I97" s="131" t="e">
        <f t="shared" ca="1" si="31"/>
        <v>#NUM!</v>
      </c>
      <c r="J97" s="66"/>
      <c r="K97" s="11"/>
      <c r="L97" s="11"/>
      <c r="M97" s="6" t="e">
        <f t="shared" ca="1" si="32"/>
        <v>#NUM!</v>
      </c>
      <c r="N97" s="40" t="str">
        <f t="shared" si="23"/>
        <v>79기 보수</v>
      </c>
      <c r="O97" s="38" t="e">
        <f t="shared" ca="1" si="33"/>
        <v>#NUM!</v>
      </c>
      <c r="P97" s="38" t="e">
        <f t="shared" ca="1" si="34"/>
        <v>#NAME?</v>
      </c>
      <c r="Q97" s="38" t="e">
        <f t="shared" ca="1" si="35"/>
        <v>#NUM!</v>
      </c>
      <c r="R97" s="38" t="e">
        <f t="shared" ca="1" si="36"/>
        <v>#NUM!</v>
      </c>
      <c r="S97" s="38" t="e">
        <f t="shared" ca="1" si="37"/>
        <v>#NUM!</v>
      </c>
      <c r="T97" s="38" t="e">
        <f t="shared" ca="1" si="38"/>
        <v>#NUM!</v>
      </c>
    </row>
    <row r="98" spans="1:20" ht="20.25" customHeight="1">
      <c r="A98" s="62"/>
      <c r="B98" s="6" t="e">
        <f t="shared" ca="1" si="24"/>
        <v>#NUM!</v>
      </c>
      <c r="C98" s="117" t="e">
        <f t="shared" ca="1" si="25"/>
        <v>#NUM!</v>
      </c>
      <c r="D98" s="131" t="e">
        <f t="shared" ca="1" si="26"/>
        <v>#NUM!</v>
      </c>
      <c r="E98" s="131" t="e">
        <f t="shared" ca="1" si="27"/>
        <v>#NUM!</v>
      </c>
      <c r="F98" s="137" t="e">
        <f t="shared" ca="1" si="28"/>
        <v>#NUM!</v>
      </c>
      <c r="G98" s="132" t="e">
        <f t="shared" ca="1" si="29"/>
        <v>#NUM!</v>
      </c>
      <c r="H98" s="132" t="e">
        <f t="shared" ca="1" si="30"/>
        <v>#NUM!</v>
      </c>
      <c r="I98" s="131" t="e">
        <f t="shared" ca="1" si="31"/>
        <v>#NUM!</v>
      </c>
      <c r="J98" s="66"/>
      <c r="K98" s="11"/>
      <c r="L98" s="11"/>
      <c r="M98" s="6" t="e">
        <f t="shared" ca="1" si="32"/>
        <v>#NUM!</v>
      </c>
      <c r="N98" s="40" t="str">
        <f t="shared" si="23"/>
        <v>80기 보수</v>
      </c>
      <c r="O98" s="38" t="e">
        <f t="shared" ca="1" si="33"/>
        <v>#NUM!</v>
      </c>
      <c r="P98" s="38" t="e">
        <f t="shared" ca="1" si="34"/>
        <v>#NAME?</v>
      </c>
      <c r="Q98" s="38" t="e">
        <f t="shared" ca="1" si="35"/>
        <v>#NUM!</v>
      </c>
      <c r="R98" s="38" t="e">
        <f t="shared" ca="1" si="36"/>
        <v>#NUM!</v>
      </c>
      <c r="S98" s="38" t="e">
        <f t="shared" ca="1" si="37"/>
        <v>#NUM!</v>
      </c>
      <c r="T98" s="38" t="e">
        <f t="shared" ca="1" si="38"/>
        <v>#NUM!</v>
      </c>
    </row>
    <row r="99" spans="1:20" ht="20.25" customHeight="1">
      <c r="A99" s="62"/>
      <c r="B99" s="6" t="e">
        <f t="shared" ca="1" si="24"/>
        <v>#NUM!</v>
      </c>
      <c r="C99" s="117" t="e">
        <f t="shared" ca="1" si="25"/>
        <v>#NUM!</v>
      </c>
      <c r="D99" s="131" t="e">
        <f t="shared" ca="1" si="26"/>
        <v>#NUM!</v>
      </c>
      <c r="E99" s="131" t="e">
        <f t="shared" ca="1" si="27"/>
        <v>#NUM!</v>
      </c>
      <c r="F99" s="137" t="e">
        <f t="shared" ca="1" si="28"/>
        <v>#NUM!</v>
      </c>
      <c r="G99" s="132" t="e">
        <f t="shared" ca="1" si="29"/>
        <v>#NUM!</v>
      </c>
      <c r="H99" s="132" t="e">
        <f t="shared" ca="1" si="30"/>
        <v>#NUM!</v>
      </c>
      <c r="I99" s="131" t="e">
        <f t="shared" ca="1" si="31"/>
        <v>#NUM!</v>
      </c>
      <c r="J99" s="66"/>
      <c r="K99" s="11"/>
      <c r="L99" s="11"/>
      <c r="M99" s="6" t="e">
        <f t="shared" ca="1" si="32"/>
        <v>#NUM!</v>
      </c>
      <c r="N99" s="40" t="str">
        <f t="shared" si="23"/>
        <v>81기 보수</v>
      </c>
      <c r="O99" s="38" t="e">
        <f t="shared" ca="1" si="33"/>
        <v>#NUM!</v>
      </c>
      <c r="P99" s="38" t="e">
        <f t="shared" ca="1" si="34"/>
        <v>#NAME?</v>
      </c>
      <c r="Q99" s="38" t="e">
        <f t="shared" ca="1" si="35"/>
        <v>#NUM!</v>
      </c>
      <c r="R99" s="38" t="e">
        <f t="shared" ca="1" si="36"/>
        <v>#NUM!</v>
      </c>
      <c r="S99" s="38" t="e">
        <f t="shared" ca="1" si="37"/>
        <v>#NUM!</v>
      </c>
      <c r="T99" s="38" t="e">
        <f t="shared" ca="1" si="38"/>
        <v>#NUM!</v>
      </c>
    </row>
    <row r="100" spans="1:20" ht="20.25" customHeight="1">
      <c r="A100" s="62"/>
      <c r="B100" s="6" t="e">
        <f t="shared" ca="1" si="24"/>
        <v>#NUM!</v>
      </c>
      <c r="C100" s="117" t="e">
        <f t="shared" ca="1" si="25"/>
        <v>#NUM!</v>
      </c>
      <c r="D100" s="131" t="e">
        <f t="shared" ca="1" si="26"/>
        <v>#NUM!</v>
      </c>
      <c r="E100" s="131" t="e">
        <f t="shared" ca="1" si="27"/>
        <v>#NUM!</v>
      </c>
      <c r="F100" s="137" t="e">
        <f t="shared" ca="1" si="28"/>
        <v>#NUM!</v>
      </c>
      <c r="G100" s="132" t="e">
        <f t="shared" ca="1" si="29"/>
        <v>#NUM!</v>
      </c>
      <c r="H100" s="132" t="e">
        <f t="shared" ca="1" si="30"/>
        <v>#NUM!</v>
      </c>
      <c r="I100" s="131" t="e">
        <f t="shared" ca="1" si="31"/>
        <v>#NUM!</v>
      </c>
      <c r="J100" s="66"/>
      <c r="K100" s="11"/>
      <c r="L100" s="11"/>
      <c r="M100" s="6" t="e">
        <f t="shared" ca="1" si="32"/>
        <v>#NUM!</v>
      </c>
      <c r="N100" s="40" t="str">
        <f t="shared" si="23"/>
        <v>82기 보수</v>
      </c>
      <c r="O100" s="38" t="e">
        <f t="shared" ca="1" si="33"/>
        <v>#NUM!</v>
      </c>
      <c r="P100" s="38" t="e">
        <f t="shared" ca="1" si="34"/>
        <v>#NAME?</v>
      </c>
      <c r="Q100" s="38" t="e">
        <f t="shared" ca="1" si="35"/>
        <v>#NUM!</v>
      </c>
      <c r="R100" s="38" t="e">
        <f t="shared" ca="1" si="36"/>
        <v>#NUM!</v>
      </c>
      <c r="S100" s="38" t="e">
        <f t="shared" ca="1" si="37"/>
        <v>#NUM!</v>
      </c>
      <c r="T100" s="38" t="e">
        <f t="shared" ca="1" si="38"/>
        <v>#NUM!</v>
      </c>
    </row>
    <row r="101" spans="1:20" ht="20.25" customHeight="1">
      <c r="A101" s="62"/>
      <c r="B101" s="6" t="e">
        <f t="shared" ca="1" si="24"/>
        <v>#NUM!</v>
      </c>
      <c r="C101" s="117" t="e">
        <f t="shared" ca="1" si="25"/>
        <v>#NUM!</v>
      </c>
      <c r="D101" s="131" t="e">
        <f t="shared" ca="1" si="26"/>
        <v>#NUM!</v>
      </c>
      <c r="E101" s="131" t="e">
        <f t="shared" ca="1" si="27"/>
        <v>#NUM!</v>
      </c>
      <c r="F101" s="137" t="e">
        <f t="shared" ca="1" si="28"/>
        <v>#NUM!</v>
      </c>
      <c r="G101" s="132" t="e">
        <f t="shared" ca="1" si="29"/>
        <v>#NUM!</v>
      </c>
      <c r="H101" s="132" t="e">
        <f t="shared" ca="1" si="30"/>
        <v>#NUM!</v>
      </c>
      <c r="I101" s="131" t="e">
        <f t="shared" ca="1" si="31"/>
        <v>#NUM!</v>
      </c>
      <c r="J101" s="66"/>
      <c r="K101" s="11"/>
      <c r="L101" s="11"/>
      <c r="M101" s="6" t="e">
        <f t="shared" ca="1" si="32"/>
        <v>#NUM!</v>
      </c>
      <c r="N101" s="40" t="str">
        <f t="shared" si="23"/>
        <v>83기 보수</v>
      </c>
      <c r="O101" s="38" t="e">
        <f t="shared" ca="1" si="33"/>
        <v>#NUM!</v>
      </c>
      <c r="P101" s="38" t="e">
        <f t="shared" ca="1" si="34"/>
        <v>#NAME?</v>
      </c>
      <c r="Q101" s="38" t="e">
        <f t="shared" ca="1" si="35"/>
        <v>#NUM!</v>
      </c>
      <c r="R101" s="38" t="e">
        <f t="shared" ca="1" si="36"/>
        <v>#NUM!</v>
      </c>
      <c r="S101" s="38" t="e">
        <f t="shared" ca="1" si="37"/>
        <v>#NUM!</v>
      </c>
      <c r="T101" s="38" t="e">
        <f t="shared" ca="1" si="38"/>
        <v>#NUM!</v>
      </c>
    </row>
    <row r="102" spans="1:20" ht="20.25" customHeight="1">
      <c r="A102" s="62"/>
      <c r="B102" s="6" t="e">
        <f t="shared" ca="1" si="24"/>
        <v>#NUM!</v>
      </c>
      <c r="C102" s="117" t="e">
        <f t="shared" ca="1" si="25"/>
        <v>#NUM!</v>
      </c>
      <c r="D102" s="131" t="e">
        <f t="shared" ca="1" si="26"/>
        <v>#NUM!</v>
      </c>
      <c r="E102" s="131" t="e">
        <f t="shared" ca="1" si="27"/>
        <v>#NUM!</v>
      </c>
      <c r="F102" s="137" t="e">
        <f t="shared" ca="1" si="28"/>
        <v>#NUM!</v>
      </c>
      <c r="G102" s="132" t="e">
        <f t="shared" ca="1" si="29"/>
        <v>#NUM!</v>
      </c>
      <c r="H102" s="132" t="e">
        <f t="shared" ca="1" si="30"/>
        <v>#NUM!</v>
      </c>
      <c r="I102" s="131" t="e">
        <f t="shared" ca="1" si="31"/>
        <v>#NUM!</v>
      </c>
      <c r="J102" s="66"/>
      <c r="K102" s="11"/>
      <c r="L102" s="11"/>
      <c r="M102" s="6" t="e">
        <f t="shared" ca="1" si="32"/>
        <v>#NUM!</v>
      </c>
      <c r="N102" s="40" t="str">
        <f t="shared" si="23"/>
        <v>84기 보수</v>
      </c>
      <c r="O102" s="38" t="e">
        <f t="shared" ca="1" si="33"/>
        <v>#NUM!</v>
      </c>
      <c r="P102" s="38" t="e">
        <f t="shared" ca="1" si="34"/>
        <v>#NAME?</v>
      </c>
      <c r="Q102" s="38" t="e">
        <f t="shared" ca="1" si="35"/>
        <v>#NUM!</v>
      </c>
      <c r="R102" s="38" t="e">
        <f t="shared" ca="1" si="36"/>
        <v>#NUM!</v>
      </c>
      <c r="S102" s="38" t="e">
        <f t="shared" ca="1" si="37"/>
        <v>#NUM!</v>
      </c>
      <c r="T102" s="38" t="e">
        <f t="shared" ca="1" si="38"/>
        <v>#NUM!</v>
      </c>
    </row>
    <row r="103" spans="1:20" ht="20.25" customHeight="1">
      <c r="A103" s="62"/>
      <c r="B103" s="6" t="e">
        <f t="shared" ca="1" si="24"/>
        <v>#NUM!</v>
      </c>
      <c r="C103" s="117" t="e">
        <f t="shared" ca="1" si="25"/>
        <v>#NUM!</v>
      </c>
      <c r="D103" s="131" t="e">
        <f t="shared" ca="1" si="26"/>
        <v>#NUM!</v>
      </c>
      <c r="E103" s="131" t="e">
        <f t="shared" ca="1" si="27"/>
        <v>#NUM!</v>
      </c>
      <c r="F103" s="137" t="e">
        <f t="shared" ca="1" si="28"/>
        <v>#NUM!</v>
      </c>
      <c r="G103" s="132" t="e">
        <f t="shared" ca="1" si="29"/>
        <v>#NUM!</v>
      </c>
      <c r="H103" s="132" t="e">
        <f t="shared" ca="1" si="30"/>
        <v>#NUM!</v>
      </c>
      <c r="I103" s="131" t="e">
        <f t="shared" ca="1" si="31"/>
        <v>#NUM!</v>
      </c>
      <c r="J103" s="66"/>
      <c r="K103" s="11"/>
      <c r="L103" s="11"/>
      <c r="M103" s="6" t="e">
        <f t="shared" ca="1" si="32"/>
        <v>#NUM!</v>
      </c>
      <c r="N103" s="40" t="str">
        <f t="shared" si="23"/>
        <v>85기 보수</v>
      </c>
      <c r="O103" s="38" t="e">
        <f t="shared" ca="1" si="33"/>
        <v>#NUM!</v>
      </c>
      <c r="P103" s="38" t="e">
        <f t="shared" ca="1" si="34"/>
        <v>#NAME?</v>
      </c>
      <c r="Q103" s="38" t="e">
        <f t="shared" ca="1" si="35"/>
        <v>#NUM!</v>
      </c>
      <c r="R103" s="38" t="e">
        <f t="shared" ca="1" si="36"/>
        <v>#NUM!</v>
      </c>
      <c r="S103" s="38" t="e">
        <f t="shared" ca="1" si="37"/>
        <v>#NUM!</v>
      </c>
      <c r="T103" s="38" t="e">
        <f t="shared" ca="1" si="38"/>
        <v>#NUM!</v>
      </c>
    </row>
    <row r="104" spans="1:20" ht="20.25" customHeight="1">
      <c r="A104" s="62"/>
      <c r="B104" s="6" t="e">
        <f t="shared" ca="1" si="24"/>
        <v>#NUM!</v>
      </c>
      <c r="C104" s="117" t="e">
        <f t="shared" ca="1" si="25"/>
        <v>#NUM!</v>
      </c>
      <c r="D104" s="131" t="e">
        <f t="shared" ca="1" si="26"/>
        <v>#NUM!</v>
      </c>
      <c r="E104" s="131" t="e">
        <f t="shared" ca="1" si="27"/>
        <v>#NUM!</v>
      </c>
      <c r="F104" s="137" t="e">
        <f t="shared" ca="1" si="28"/>
        <v>#NUM!</v>
      </c>
      <c r="G104" s="132" t="e">
        <f t="shared" ca="1" si="29"/>
        <v>#NUM!</v>
      </c>
      <c r="H104" s="132" t="e">
        <f t="shared" ca="1" si="30"/>
        <v>#NUM!</v>
      </c>
      <c r="I104" s="131" t="e">
        <f t="shared" ca="1" si="31"/>
        <v>#NUM!</v>
      </c>
      <c r="J104" s="66"/>
      <c r="K104" s="11"/>
      <c r="L104" s="11"/>
      <c r="M104" s="6" t="e">
        <f t="shared" ca="1" si="32"/>
        <v>#NUM!</v>
      </c>
      <c r="N104" s="40" t="str">
        <f t="shared" si="23"/>
        <v>86기 보수</v>
      </c>
      <c r="O104" s="38" t="e">
        <f t="shared" ca="1" si="33"/>
        <v>#NUM!</v>
      </c>
      <c r="P104" s="38" t="e">
        <f t="shared" ca="1" si="34"/>
        <v>#NAME?</v>
      </c>
      <c r="Q104" s="38" t="e">
        <f t="shared" ca="1" si="35"/>
        <v>#NUM!</v>
      </c>
      <c r="R104" s="38" t="e">
        <f t="shared" ca="1" si="36"/>
        <v>#NUM!</v>
      </c>
      <c r="S104" s="38" t="e">
        <f t="shared" ca="1" si="37"/>
        <v>#NUM!</v>
      </c>
      <c r="T104" s="38" t="e">
        <f t="shared" ca="1" si="38"/>
        <v>#NUM!</v>
      </c>
    </row>
    <row r="105" spans="1:20" ht="20.25" customHeight="1">
      <c r="A105" s="62"/>
      <c r="B105" s="6" t="e">
        <f t="shared" ca="1" si="24"/>
        <v>#NUM!</v>
      </c>
      <c r="C105" s="117" t="e">
        <f t="shared" ca="1" si="25"/>
        <v>#NUM!</v>
      </c>
      <c r="D105" s="131" t="e">
        <f t="shared" ca="1" si="26"/>
        <v>#NUM!</v>
      </c>
      <c r="E105" s="131" t="e">
        <f t="shared" ca="1" si="27"/>
        <v>#NUM!</v>
      </c>
      <c r="F105" s="137" t="e">
        <f t="shared" ca="1" si="28"/>
        <v>#NUM!</v>
      </c>
      <c r="G105" s="132" t="e">
        <f t="shared" ca="1" si="29"/>
        <v>#NUM!</v>
      </c>
      <c r="H105" s="132" t="e">
        <f t="shared" ca="1" si="30"/>
        <v>#NUM!</v>
      </c>
      <c r="I105" s="131" t="e">
        <f t="shared" ca="1" si="31"/>
        <v>#NUM!</v>
      </c>
      <c r="J105" s="66"/>
      <c r="K105" s="11"/>
      <c r="L105" s="11"/>
      <c r="M105" s="6" t="e">
        <f t="shared" ca="1" si="32"/>
        <v>#NUM!</v>
      </c>
      <c r="N105" s="40" t="str">
        <f t="shared" si="23"/>
        <v>87기 보수</v>
      </c>
      <c r="O105" s="38" t="e">
        <f t="shared" ca="1" si="33"/>
        <v>#NUM!</v>
      </c>
      <c r="P105" s="38" t="e">
        <f t="shared" ca="1" si="34"/>
        <v>#NAME?</v>
      </c>
      <c r="Q105" s="38" t="e">
        <f t="shared" ca="1" si="35"/>
        <v>#NUM!</v>
      </c>
      <c r="R105" s="38" t="e">
        <f t="shared" ca="1" si="36"/>
        <v>#NUM!</v>
      </c>
      <c r="S105" s="38" t="e">
        <f t="shared" ca="1" si="37"/>
        <v>#NUM!</v>
      </c>
      <c r="T105" s="38" t="e">
        <f t="shared" ca="1" si="38"/>
        <v>#NUM!</v>
      </c>
    </row>
    <row r="106" spans="1:20" ht="20.25" customHeight="1">
      <c r="A106" s="62"/>
      <c r="B106" s="6" t="e">
        <f t="shared" ca="1" si="24"/>
        <v>#NUM!</v>
      </c>
      <c r="C106" s="117" t="e">
        <f t="shared" ca="1" si="25"/>
        <v>#NUM!</v>
      </c>
      <c r="D106" s="131" t="e">
        <f t="shared" ca="1" si="26"/>
        <v>#NUM!</v>
      </c>
      <c r="E106" s="131" t="e">
        <f t="shared" ca="1" si="27"/>
        <v>#NUM!</v>
      </c>
      <c r="F106" s="137" t="e">
        <f t="shared" ca="1" si="28"/>
        <v>#NUM!</v>
      </c>
      <c r="G106" s="132" t="e">
        <f t="shared" ca="1" si="29"/>
        <v>#NUM!</v>
      </c>
      <c r="H106" s="132" t="e">
        <f t="shared" ca="1" si="30"/>
        <v>#NUM!</v>
      </c>
      <c r="I106" s="131" t="e">
        <f t="shared" ca="1" si="31"/>
        <v>#NUM!</v>
      </c>
      <c r="J106" s="66"/>
      <c r="K106" s="11"/>
      <c r="L106" s="11"/>
      <c r="M106" s="6" t="e">
        <f t="shared" ca="1" si="32"/>
        <v>#NUM!</v>
      </c>
      <c r="N106" s="40" t="str">
        <f t="shared" si="23"/>
        <v>88기 보수</v>
      </c>
      <c r="O106" s="38" t="e">
        <f t="shared" ca="1" si="33"/>
        <v>#NUM!</v>
      </c>
      <c r="P106" s="38" t="e">
        <f t="shared" ca="1" si="34"/>
        <v>#NAME?</v>
      </c>
      <c r="Q106" s="38" t="e">
        <f t="shared" ca="1" si="35"/>
        <v>#NUM!</v>
      </c>
      <c r="R106" s="38" t="e">
        <f t="shared" ca="1" si="36"/>
        <v>#NUM!</v>
      </c>
      <c r="S106" s="38" t="e">
        <f t="shared" ca="1" si="37"/>
        <v>#NUM!</v>
      </c>
      <c r="T106" s="38" t="e">
        <f t="shared" ca="1" si="38"/>
        <v>#NUM!</v>
      </c>
    </row>
    <row r="107" spans="1:20" ht="20.25" customHeight="1">
      <c r="A107" s="62"/>
      <c r="B107" s="6" t="e">
        <f t="shared" ca="1" si="24"/>
        <v>#NUM!</v>
      </c>
      <c r="C107" s="117" t="e">
        <f t="shared" ca="1" si="25"/>
        <v>#NUM!</v>
      </c>
      <c r="D107" s="131" t="e">
        <f t="shared" ca="1" si="26"/>
        <v>#NUM!</v>
      </c>
      <c r="E107" s="131" t="e">
        <f t="shared" ca="1" si="27"/>
        <v>#NUM!</v>
      </c>
      <c r="F107" s="137" t="e">
        <f t="shared" ca="1" si="28"/>
        <v>#NUM!</v>
      </c>
      <c r="G107" s="132" t="e">
        <f t="shared" ca="1" si="29"/>
        <v>#NUM!</v>
      </c>
      <c r="H107" s="132" t="e">
        <f t="shared" ca="1" si="30"/>
        <v>#NUM!</v>
      </c>
      <c r="I107" s="131" t="e">
        <f t="shared" ca="1" si="31"/>
        <v>#NUM!</v>
      </c>
      <c r="J107" s="66"/>
      <c r="K107" s="11"/>
      <c r="L107" s="11"/>
      <c r="M107" s="6" t="e">
        <f t="shared" ca="1" si="32"/>
        <v>#NUM!</v>
      </c>
      <c r="N107" s="40" t="str">
        <f t="shared" si="23"/>
        <v>89기 보수</v>
      </c>
      <c r="O107" s="38" t="e">
        <f t="shared" ca="1" si="33"/>
        <v>#NUM!</v>
      </c>
      <c r="P107" s="38" t="e">
        <f t="shared" ca="1" si="34"/>
        <v>#NAME?</v>
      </c>
      <c r="Q107" s="38" t="e">
        <f t="shared" ca="1" si="35"/>
        <v>#NUM!</v>
      </c>
      <c r="R107" s="38" t="e">
        <f t="shared" ca="1" si="36"/>
        <v>#NUM!</v>
      </c>
      <c r="S107" s="38" t="e">
        <f t="shared" ca="1" si="37"/>
        <v>#NUM!</v>
      </c>
      <c r="T107" s="38" t="e">
        <f t="shared" ca="1" si="38"/>
        <v>#NUM!</v>
      </c>
    </row>
    <row r="108" spans="1:20" ht="20.25" customHeight="1">
      <c r="A108" s="62"/>
      <c r="B108" s="6" t="e">
        <f t="shared" ca="1" si="24"/>
        <v>#NUM!</v>
      </c>
      <c r="C108" s="117" t="e">
        <f t="shared" ca="1" si="25"/>
        <v>#NUM!</v>
      </c>
      <c r="D108" s="131" t="e">
        <f t="shared" ca="1" si="26"/>
        <v>#NUM!</v>
      </c>
      <c r="E108" s="131" t="e">
        <f t="shared" ca="1" si="27"/>
        <v>#NUM!</v>
      </c>
      <c r="F108" s="137" t="e">
        <f t="shared" ca="1" si="28"/>
        <v>#NUM!</v>
      </c>
      <c r="G108" s="132" t="e">
        <f t="shared" ca="1" si="29"/>
        <v>#NUM!</v>
      </c>
      <c r="H108" s="132" t="e">
        <f t="shared" ca="1" si="30"/>
        <v>#NUM!</v>
      </c>
      <c r="I108" s="131" t="e">
        <f t="shared" ca="1" si="31"/>
        <v>#NUM!</v>
      </c>
      <c r="J108" s="66"/>
      <c r="K108" s="11"/>
      <c r="L108" s="11"/>
      <c r="M108" s="6" t="e">
        <f t="shared" ca="1" si="32"/>
        <v>#NUM!</v>
      </c>
      <c r="N108" s="40" t="str">
        <f t="shared" si="23"/>
        <v>90기 보수</v>
      </c>
      <c r="O108" s="38" t="e">
        <f t="shared" ca="1" si="33"/>
        <v>#NUM!</v>
      </c>
      <c r="P108" s="38" t="e">
        <f t="shared" ca="1" si="34"/>
        <v>#NAME?</v>
      </c>
      <c r="Q108" s="38" t="e">
        <f t="shared" ca="1" si="35"/>
        <v>#NUM!</v>
      </c>
      <c r="R108" s="38" t="e">
        <f t="shared" ca="1" si="36"/>
        <v>#NUM!</v>
      </c>
      <c r="S108" s="38" t="e">
        <f t="shared" ca="1" si="37"/>
        <v>#NUM!</v>
      </c>
      <c r="T108" s="38" t="e">
        <f t="shared" ca="1" si="38"/>
        <v>#NUM!</v>
      </c>
    </row>
    <row r="109" spans="1:20" ht="20.25" customHeight="1">
      <c r="A109" s="62"/>
      <c r="B109" s="6" t="e">
        <f t="shared" ca="1" si="24"/>
        <v>#NUM!</v>
      </c>
      <c r="C109" s="117" t="e">
        <f t="shared" ca="1" si="25"/>
        <v>#NUM!</v>
      </c>
      <c r="D109" s="131" t="e">
        <f t="shared" ca="1" si="26"/>
        <v>#NUM!</v>
      </c>
      <c r="E109" s="131" t="e">
        <f t="shared" ca="1" si="27"/>
        <v>#NUM!</v>
      </c>
      <c r="F109" s="137" t="e">
        <f t="shared" ca="1" si="28"/>
        <v>#NUM!</v>
      </c>
      <c r="G109" s="132" t="e">
        <f t="shared" ca="1" si="29"/>
        <v>#NUM!</v>
      </c>
      <c r="H109" s="132" t="e">
        <f t="shared" ca="1" si="30"/>
        <v>#NUM!</v>
      </c>
      <c r="I109" s="131" t="e">
        <f t="shared" ca="1" si="31"/>
        <v>#NUM!</v>
      </c>
      <c r="J109" s="66"/>
      <c r="K109" s="11"/>
      <c r="L109" s="11"/>
      <c r="M109" s="6" t="e">
        <f t="shared" ca="1" si="32"/>
        <v>#NUM!</v>
      </c>
      <c r="N109" s="40" t="str">
        <f t="shared" si="23"/>
        <v>91기 보수</v>
      </c>
      <c r="O109" s="38" t="e">
        <f t="shared" ca="1" si="33"/>
        <v>#NUM!</v>
      </c>
      <c r="P109" s="38" t="e">
        <f t="shared" ca="1" si="34"/>
        <v>#NAME?</v>
      </c>
      <c r="Q109" s="38" t="e">
        <f t="shared" ca="1" si="35"/>
        <v>#NUM!</v>
      </c>
      <c r="R109" s="38" t="e">
        <f t="shared" ca="1" si="36"/>
        <v>#NUM!</v>
      </c>
      <c r="S109" s="38" t="e">
        <f t="shared" ca="1" si="37"/>
        <v>#NUM!</v>
      </c>
      <c r="T109" s="38" t="e">
        <f t="shared" ca="1" si="38"/>
        <v>#NUM!</v>
      </c>
    </row>
    <row r="110" spans="1:20" ht="20.25" customHeight="1">
      <c r="A110" s="62"/>
      <c r="B110" s="6" t="e">
        <f t="shared" ca="1" si="24"/>
        <v>#NUM!</v>
      </c>
      <c r="C110" s="117" t="e">
        <f t="shared" ca="1" si="25"/>
        <v>#NUM!</v>
      </c>
      <c r="D110" s="131" t="e">
        <f t="shared" ca="1" si="26"/>
        <v>#NUM!</v>
      </c>
      <c r="E110" s="131" t="e">
        <f t="shared" ca="1" si="27"/>
        <v>#NUM!</v>
      </c>
      <c r="F110" s="137" t="e">
        <f t="shared" ca="1" si="28"/>
        <v>#NUM!</v>
      </c>
      <c r="G110" s="132" t="e">
        <f t="shared" ca="1" si="29"/>
        <v>#NUM!</v>
      </c>
      <c r="H110" s="132" t="e">
        <f t="shared" ca="1" si="30"/>
        <v>#NUM!</v>
      </c>
      <c r="I110" s="131" t="e">
        <f t="shared" ca="1" si="31"/>
        <v>#NUM!</v>
      </c>
      <c r="J110" s="66"/>
      <c r="K110" s="11"/>
      <c r="L110" s="11"/>
      <c r="M110" s="6" t="e">
        <f t="shared" ca="1" si="32"/>
        <v>#NUM!</v>
      </c>
      <c r="N110" s="40" t="str">
        <f t="shared" si="23"/>
        <v>92기 보수</v>
      </c>
      <c r="O110" s="38" t="e">
        <f t="shared" ca="1" si="33"/>
        <v>#NUM!</v>
      </c>
      <c r="P110" s="38" t="e">
        <f t="shared" ca="1" si="34"/>
        <v>#NAME?</v>
      </c>
      <c r="Q110" s="38" t="e">
        <f t="shared" ca="1" si="35"/>
        <v>#NUM!</v>
      </c>
      <c r="R110" s="38" t="e">
        <f t="shared" ca="1" si="36"/>
        <v>#NUM!</v>
      </c>
      <c r="S110" s="38" t="e">
        <f t="shared" ca="1" si="37"/>
        <v>#NUM!</v>
      </c>
      <c r="T110" s="38" t="e">
        <f t="shared" ca="1" si="38"/>
        <v>#NUM!</v>
      </c>
    </row>
    <row r="111" spans="1:20" ht="20.25" customHeight="1">
      <c r="A111" s="62"/>
      <c r="B111" s="6" t="e">
        <f t="shared" ca="1" si="24"/>
        <v>#NUM!</v>
      </c>
      <c r="C111" s="117" t="e">
        <f t="shared" ca="1" si="25"/>
        <v>#NUM!</v>
      </c>
      <c r="D111" s="131" t="e">
        <f t="shared" ca="1" si="26"/>
        <v>#NUM!</v>
      </c>
      <c r="E111" s="131" t="e">
        <f t="shared" ca="1" si="27"/>
        <v>#NUM!</v>
      </c>
      <c r="F111" s="137" t="e">
        <f t="shared" ca="1" si="28"/>
        <v>#NUM!</v>
      </c>
      <c r="G111" s="132" t="e">
        <f t="shared" ca="1" si="29"/>
        <v>#NUM!</v>
      </c>
      <c r="H111" s="132" t="e">
        <f t="shared" ca="1" si="30"/>
        <v>#NUM!</v>
      </c>
      <c r="I111" s="131" t="e">
        <f t="shared" ca="1" si="31"/>
        <v>#NUM!</v>
      </c>
      <c r="J111" s="66"/>
      <c r="K111" s="11"/>
      <c r="L111" s="11"/>
      <c r="M111" s="6" t="e">
        <f t="shared" ca="1" si="32"/>
        <v>#NUM!</v>
      </c>
      <c r="N111" s="40" t="str">
        <f t="shared" si="23"/>
        <v>93기 보수</v>
      </c>
      <c r="O111" s="38" t="e">
        <f t="shared" ca="1" si="33"/>
        <v>#NUM!</v>
      </c>
      <c r="P111" s="38" t="e">
        <f t="shared" ca="1" si="34"/>
        <v>#NAME?</v>
      </c>
      <c r="Q111" s="38" t="e">
        <f t="shared" ca="1" si="35"/>
        <v>#NUM!</v>
      </c>
      <c r="R111" s="38" t="e">
        <f t="shared" ca="1" si="36"/>
        <v>#NUM!</v>
      </c>
      <c r="S111" s="38" t="e">
        <f t="shared" ca="1" si="37"/>
        <v>#NUM!</v>
      </c>
      <c r="T111" s="38" t="e">
        <f t="shared" ca="1" si="38"/>
        <v>#NUM!</v>
      </c>
    </row>
    <row r="112" spans="1:20" ht="20.25" customHeight="1">
      <c r="A112" s="62"/>
      <c r="B112" s="6" t="e">
        <f t="shared" ca="1" si="24"/>
        <v>#NUM!</v>
      </c>
      <c r="C112" s="117" t="e">
        <f t="shared" ca="1" si="25"/>
        <v>#NUM!</v>
      </c>
      <c r="D112" s="131" t="e">
        <f t="shared" ca="1" si="26"/>
        <v>#NUM!</v>
      </c>
      <c r="E112" s="131" t="e">
        <f t="shared" ca="1" si="27"/>
        <v>#NUM!</v>
      </c>
      <c r="F112" s="137" t="e">
        <f t="shared" ca="1" si="28"/>
        <v>#NUM!</v>
      </c>
      <c r="G112" s="132" t="e">
        <f t="shared" ca="1" si="29"/>
        <v>#NUM!</v>
      </c>
      <c r="H112" s="132" t="e">
        <f t="shared" ca="1" si="30"/>
        <v>#NUM!</v>
      </c>
      <c r="I112" s="131" t="e">
        <f t="shared" ca="1" si="31"/>
        <v>#NUM!</v>
      </c>
      <c r="J112" s="66"/>
      <c r="K112" s="11"/>
      <c r="L112" s="11"/>
      <c r="M112" s="6" t="e">
        <f t="shared" ca="1" si="32"/>
        <v>#NUM!</v>
      </c>
      <c r="N112" s="40" t="str">
        <f t="shared" si="23"/>
        <v>94기 보수</v>
      </c>
      <c r="O112" s="38" t="e">
        <f t="shared" ca="1" si="33"/>
        <v>#NUM!</v>
      </c>
      <c r="P112" s="38" t="e">
        <f t="shared" ca="1" si="34"/>
        <v>#NAME?</v>
      </c>
      <c r="Q112" s="38" t="e">
        <f t="shared" ca="1" si="35"/>
        <v>#NUM!</v>
      </c>
      <c r="R112" s="38" t="e">
        <f t="shared" ca="1" si="36"/>
        <v>#NUM!</v>
      </c>
      <c r="S112" s="38" t="e">
        <f t="shared" ca="1" si="37"/>
        <v>#NUM!</v>
      </c>
      <c r="T112" s="38" t="e">
        <f t="shared" ca="1" si="38"/>
        <v>#NUM!</v>
      </c>
    </row>
    <row r="113" spans="1:20" ht="20.25" customHeight="1">
      <c r="A113" s="62"/>
      <c r="B113" s="6" t="e">
        <f t="shared" ca="1" si="24"/>
        <v>#NUM!</v>
      </c>
      <c r="C113" s="117" t="e">
        <f t="shared" ca="1" si="25"/>
        <v>#NUM!</v>
      </c>
      <c r="D113" s="131" t="e">
        <f t="shared" ca="1" si="26"/>
        <v>#NUM!</v>
      </c>
      <c r="E113" s="131" t="e">
        <f t="shared" ca="1" si="27"/>
        <v>#NUM!</v>
      </c>
      <c r="F113" s="137" t="e">
        <f t="shared" ca="1" si="28"/>
        <v>#NUM!</v>
      </c>
      <c r="G113" s="132" t="e">
        <f t="shared" ca="1" si="29"/>
        <v>#NUM!</v>
      </c>
      <c r="H113" s="132" t="e">
        <f t="shared" ca="1" si="30"/>
        <v>#NUM!</v>
      </c>
      <c r="I113" s="131" t="e">
        <f t="shared" ca="1" si="31"/>
        <v>#NUM!</v>
      </c>
      <c r="J113" s="66"/>
      <c r="K113" s="11"/>
      <c r="L113" s="11"/>
      <c r="M113" s="6" t="e">
        <f t="shared" ca="1" si="32"/>
        <v>#NUM!</v>
      </c>
      <c r="N113" s="40" t="str">
        <f t="shared" si="23"/>
        <v>95기 보수</v>
      </c>
      <c r="O113" s="38" t="e">
        <f t="shared" ca="1" si="33"/>
        <v>#NUM!</v>
      </c>
      <c r="P113" s="38" t="e">
        <f t="shared" ca="1" si="34"/>
        <v>#NAME?</v>
      </c>
      <c r="Q113" s="38" t="e">
        <f t="shared" ca="1" si="35"/>
        <v>#NUM!</v>
      </c>
      <c r="R113" s="38" t="e">
        <f t="shared" ca="1" si="36"/>
        <v>#NUM!</v>
      </c>
      <c r="S113" s="38" t="e">
        <f t="shared" ca="1" si="37"/>
        <v>#NUM!</v>
      </c>
      <c r="T113" s="38" t="e">
        <f t="shared" ca="1" si="38"/>
        <v>#NUM!</v>
      </c>
    </row>
    <row r="114" spans="1:20" ht="20.25" customHeight="1">
      <c r="A114" s="62"/>
      <c r="B114" s="6" t="e">
        <f t="shared" ca="1" si="24"/>
        <v>#NUM!</v>
      </c>
      <c r="C114" s="117" t="e">
        <f t="shared" ca="1" si="25"/>
        <v>#NUM!</v>
      </c>
      <c r="D114" s="131" t="e">
        <f t="shared" ca="1" si="26"/>
        <v>#NUM!</v>
      </c>
      <c r="E114" s="131" t="e">
        <f t="shared" ca="1" si="27"/>
        <v>#NUM!</v>
      </c>
      <c r="F114" s="137" t="e">
        <f t="shared" ca="1" si="28"/>
        <v>#NUM!</v>
      </c>
      <c r="G114" s="132" t="e">
        <f t="shared" ca="1" si="29"/>
        <v>#NUM!</v>
      </c>
      <c r="H114" s="132" t="e">
        <f t="shared" ca="1" si="30"/>
        <v>#NUM!</v>
      </c>
      <c r="I114" s="131" t="e">
        <f t="shared" ca="1" si="31"/>
        <v>#NUM!</v>
      </c>
      <c r="J114" s="66"/>
      <c r="K114" s="11"/>
      <c r="L114" s="11"/>
      <c r="M114" s="6" t="e">
        <f t="shared" ca="1" si="32"/>
        <v>#NUM!</v>
      </c>
      <c r="N114" s="40" t="str">
        <f t="shared" si="23"/>
        <v>96기 보수</v>
      </c>
      <c r="O114" s="38" t="e">
        <f t="shared" ca="1" si="33"/>
        <v>#NUM!</v>
      </c>
      <c r="P114" s="38" t="e">
        <f t="shared" ca="1" si="34"/>
        <v>#NAME?</v>
      </c>
      <c r="Q114" s="38" t="e">
        <f t="shared" ca="1" si="35"/>
        <v>#NUM!</v>
      </c>
      <c r="R114" s="38" t="e">
        <f t="shared" ca="1" si="36"/>
        <v>#NUM!</v>
      </c>
      <c r="S114" s="38" t="e">
        <f t="shared" ca="1" si="37"/>
        <v>#NUM!</v>
      </c>
      <c r="T114" s="38" t="e">
        <f t="shared" ca="1" si="38"/>
        <v>#NUM!</v>
      </c>
    </row>
    <row r="115" spans="1:20" ht="20.25" customHeight="1">
      <c r="A115" s="62"/>
      <c r="B115" s="6" t="e">
        <f t="shared" ca="1" si="24"/>
        <v>#NUM!</v>
      </c>
      <c r="C115" s="117" t="e">
        <f t="shared" ca="1" si="25"/>
        <v>#NUM!</v>
      </c>
      <c r="D115" s="131" t="e">
        <f t="shared" ca="1" si="26"/>
        <v>#NUM!</v>
      </c>
      <c r="E115" s="131" t="e">
        <f t="shared" ca="1" si="27"/>
        <v>#NUM!</v>
      </c>
      <c r="F115" s="137" t="e">
        <f t="shared" ca="1" si="28"/>
        <v>#NUM!</v>
      </c>
      <c r="G115" s="132" t="e">
        <f t="shared" ca="1" si="29"/>
        <v>#NUM!</v>
      </c>
      <c r="H115" s="132" t="e">
        <f t="shared" ca="1" si="30"/>
        <v>#NUM!</v>
      </c>
      <c r="I115" s="131" t="e">
        <f t="shared" ca="1" si="31"/>
        <v>#NUM!</v>
      </c>
      <c r="J115" s="66"/>
      <c r="K115" s="11"/>
      <c r="L115" s="11"/>
      <c r="M115" s="6" t="e">
        <f t="shared" ca="1" si="32"/>
        <v>#NUM!</v>
      </c>
      <c r="N115" s="40" t="str">
        <f t="shared" si="23"/>
        <v>97기 보수</v>
      </c>
      <c r="O115" s="38" t="e">
        <f t="shared" ca="1" si="33"/>
        <v>#NUM!</v>
      </c>
      <c r="P115" s="38" t="e">
        <f t="shared" ca="1" si="34"/>
        <v>#NAME?</v>
      </c>
      <c r="Q115" s="38" t="e">
        <f t="shared" ca="1" si="35"/>
        <v>#NUM!</v>
      </c>
      <c r="R115" s="38" t="e">
        <f t="shared" ca="1" si="36"/>
        <v>#NUM!</v>
      </c>
      <c r="S115" s="38" t="e">
        <f t="shared" ca="1" si="37"/>
        <v>#NUM!</v>
      </c>
      <c r="T115" s="38" t="e">
        <f t="shared" ca="1" si="38"/>
        <v>#NUM!</v>
      </c>
    </row>
    <row r="116" spans="1:20" ht="20.25" customHeight="1">
      <c r="A116" s="62"/>
      <c r="B116" s="6" t="e">
        <f t="shared" ca="1" si="24"/>
        <v>#NUM!</v>
      </c>
      <c r="C116" s="117" t="e">
        <f t="shared" ca="1" si="25"/>
        <v>#NUM!</v>
      </c>
      <c r="D116" s="131" t="e">
        <f t="shared" ca="1" si="26"/>
        <v>#NUM!</v>
      </c>
      <c r="E116" s="131" t="e">
        <f t="shared" ca="1" si="27"/>
        <v>#NUM!</v>
      </c>
      <c r="F116" s="137" t="e">
        <f t="shared" ca="1" si="28"/>
        <v>#NUM!</v>
      </c>
      <c r="G116" s="132" t="e">
        <f t="shared" ca="1" si="29"/>
        <v>#NUM!</v>
      </c>
      <c r="H116" s="132" t="e">
        <f t="shared" ca="1" si="30"/>
        <v>#NUM!</v>
      </c>
      <c r="I116" s="131" t="e">
        <f t="shared" ca="1" si="31"/>
        <v>#NUM!</v>
      </c>
      <c r="J116" s="66"/>
      <c r="K116" s="11"/>
      <c r="L116" s="11"/>
      <c r="M116" s="6" t="e">
        <f t="shared" ca="1" si="32"/>
        <v>#NUM!</v>
      </c>
      <c r="N116" s="40" t="str">
        <f t="shared" si="23"/>
        <v>98기 보수</v>
      </c>
      <c r="O116" s="38" t="e">
        <f t="shared" ca="1" si="33"/>
        <v>#NUM!</v>
      </c>
      <c r="P116" s="38" t="e">
        <f t="shared" ca="1" si="34"/>
        <v>#NAME?</v>
      </c>
      <c r="Q116" s="38" t="e">
        <f t="shared" ca="1" si="35"/>
        <v>#NUM!</v>
      </c>
      <c r="R116" s="38" t="e">
        <f t="shared" ca="1" si="36"/>
        <v>#NUM!</v>
      </c>
      <c r="S116" s="38" t="e">
        <f t="shared" ca="1" si="37"/>
        <v>#NUM!</v>
      </c>
      <c r="T116" s="38" t="e">
        <f t="shared" ca="1" si="38"/>
        <v>#NUM!</v>
      </c>
    </row>
    <row r="117" spans="1:20" ht="20.25" customHeight="1">
      <c r="A117" s="62"/>
      <c r="B117" s="6" t="e">
        <f t="shared" ca="1" si="24"/>
        <v>#NUM!</v>
      </c>
      <c r="C117" s="117" t="e">
        <f t="shared" ca="1" si="25"/>
        <v>#NUM!</v>
      </c>
      <c r="D117" s="131" t="e">
        <f t="shared" ca="1" si="26"/>
        <v>#NUM!</v>
      </c>
      <c r="E117" s="131" t="e">
        <f t="shared" ca="1" si="27"/>
        <v>#NUM!</v>
      </c>
      <c r="F117" s="137" t="e">
        <f t="shared" ca="1" si="28"/>
        <v>#NUM!</v>
      </c>
      <c r="G117" s="132" t="e">
        <f t="shared" ca="1" si="29"/>
        <v>#NUM!</v>
      </c>
      <c r="H117" s="132" t="e">
        <f t="shared" ca="1" si="30"/>
        <v>#NUM!</v>
      </c>
      <c r="I117" s="131" t="e">
        <f t="shared" ca="1" si="31"/>
        <v>#NUM!</v>
      </c>
      <c r="J117" s="66"/>
      <c r="K117" s="11"/>
      <c r="L117" s="11"/>
      <c r="M117" s="6" t="e">
        <f t="shared" ca="1" si="32"/>
        <v>#NUM!</v>
      </c>
      <c r="N117" s="40" t="str">
        <f t="shared" si="23"/>
        <v>99기 보수</v>
      </c>
      <c r="O117" s="38" t="e">
        <f t="shared" ca="1" si="33"/>
        <v>#NUM!</v>
      </c>
      <c r="P117" s="38" t="e">
        <f t="shared" ca="1" si="34"/>
        <v>#NAME?</v>
      </c>
      <c r="Q117" s="38" t="e">
        <f t="shared" ca="1" si="35"/>
        <v>#NUM!</v>
      </c>
      <c r="R117" s="38" t="e">
        <f t="shared" ca="1" si="36"/>
        <v>#NUM!</v>
      </c>
      <c r="S117" s="38" t="e">
        <f t="shared" ca="1" si="37"/>
        <v>#NUM!</v>
      </c>
      <c r="T117" s="38" t="e">
        <f t="shared" ca="1" si="38"/>
        <v>#NUM!</v>
      </c>
    </row>
    <row r="118" spans="1:20" ht="20.25" customHeight="1">
      <c r="A118" s="62"/>
      <c r="B118" s="6" t="e">
        <f t="shared" ca="1" si="24"/>
        <v>#NUM!</v>
      </c>
      <c r="C118" s="117" t="e">
        <f t="shared" ca="1" si="25"/>
        <v>#NUM!</v>
      </c>
      <c r="D118" s="131" t="e">
        <f t="shared" ca="1" si="26"/>
        <v>#NUM!</v>
      </c>
      <c r="E118" s="131" t="e">
        <f t="shared" ca="1" si="27"/>
        <v>#NUM!</v>
      </c>
      <c r="F118" s="137" t="e">
        <f t="shared" ca="1" si="28"/>
        <v>#NUM!</v>
      </c>
      <c r="G118" s="132" t="e">
        <f t="shared" ca="1" si="29"/>
        <v>#NUM!</v>
      </c>
      <c r="H118" s="132" t="e">
        <f t="shared" ca="1" si="30"/>
        <v>#NUM!</v>
      </c>
      <c r="I118" s="131" t="e">
        <f t="shared" ca="1" si="31"/>
        <v>#NUM!</v>
      </c>
      <c r="J118" s="66"/>
      <c r="K118" s="11"/>
      <c r="L118" s="11"/>
      <c r="M118" s="6" t="e">
        <f t="shared" ca="1" si="32"/>
        <v>#NUM!</v>
      </c>
      <c r="N118" s="40" t="str">
        <f t="shared" si="23"/>
        <v>100기 보수</v>
      </c>
      <c r="O118" s="38" t="e">
        <f t="shared" ca="1" si="33"/>
        <v>#NUM!</v>
      </c>
      <c r="P118" s="38" t="e">
        <f t="shared" ca="1" si="34"/>
        <v>#NAME?</v>
      </c>
      <c r="Q118" s="38" t="e">
        <f t="shared" ca="1" si="35"/>
        <v>#NUM!</v>
      </c>
      <c r="R118" s="38" t="e">
        <f t="shared" ca="1" si="36"/>
        <v>#NUM!</v>
      </c>
      <c r="S118" s="38" t="e">
        <f t="shared" ca="1" si="37"/>
        <v>#NUM!</v>
      </c>
      <c r="T118" s="38" t="e">
        <f t="shared" ca="1" si="38"/>
        <v>#NUM!</v>
      </c>
    </row>
    <row r="119" spans="1:20" ht="20.25" customHeight="1">
      <c r="A119" s="62"/>
      <c r="B119" s="6" t="e">
        <f t="shared" ca="1" si="24"/>
        <v>#NUM!</v>
      </c>
      <c r="C119" s="117" t="e">
        <f t="shared" ca="1" si="25"/>
        <v>#NUM!</v>
      </c>
      <c r="D119" s="131" t="e">
        <f t="shared" ca="1" si="26"/>
        <v>#NUM!</v>
      </c>
      <c r="E119" s="131" t="e">
        <f t="shared" ca="1" si="27"/>
        <v>#NUM!</v>
      </c>
      <c r="F119" s="137" t="e">
        <f t="shared" ca="1" si="28"/>
        <v>#NUM!</v>
      </c>
      <c r="G119" s="132" t="e">
        <f t="shared" ca="1" si="29"/>
        <v>#NUM!</v>
      </c>
      <c r="H119" s="132" t="e">
        <f t="shared" ca="1" si="30"/>
        <v>#NUM!</v>
      </c>
      <c r="I119" s="131" t="e">
        <f t="shared" ca="1" si="31"/>
        <v>#NUM!</v>
      </c>
      <c r="J119" s="66"/>
      <c r="K119" s="11"/>
      <c r="L119" s="11"/>
      <c r="M119" s="6" t="e">
        <f t="shared" ca="1" si="32"/>
        <v>#NUM!</v>
      </c>
      <c r="N119" s="40" t="str">
        <f t="shared" si="23"/>
        <v>101기 보수</v>
      </c>
      <c r="O119" s="38" t="e">
        <f t="shared" ca="1" si="33"/>
        <v>#NUM!</v>
      </c>
      <c r="P119" s="38" t="e">
        <f t="shared" ca="1" si="34"/>
        <v>#NAME?</v>
      </c>
      <c r="Q119" s="38" t="e">
        <f t="shared" ca="1" si="35"/>
        <v>#NUM!</v>
      </c>
      <c r="R119" s="38" t="e">
        <f t="shared" ca="1" si="36"/>
        <v>#NUM!</v>
      </c>
      <c r="S119" s="38" t="e">
        <f t="shared" ca="1" si="37"/>
        <v>#NUM!</v>
      </c>
      <c r="T119" s="38" t="e">
        <f t="shared" ca="1" si="38"/>
        <v>#NUM!</v>
      </c>
    </row>
    <row r="120" spans="1:20" ht="20.25" customHeight="1">
      <c r="A120" s="62"/>
      <c r="B120" s="6" t="e">
        <f t="shared" ca="1" si="24"/>
        <v>#NUM!</v>
      </c>
      <c r="C120" s="117" t="e">
        <f t="shared" ca="1" si="25"/>
        <v>#NUM!</v>
      </c>
      <c r="D120" s="131" t="e">
        <f t="shared" ca="1" si="26"/>
        <v>#NUM!</v>
      </c>
      <c r="E120" s="131" t="e">
        <f t="shared" ca="1" si="27"/>
        <v>#NUM!</v>
      </c>
      <c r="F120" s="137" t="e">
        <f t="shared" ca="1" si="28"/>
        <v>#NUM!</v>
      </c>
      <c r="G120" s="132" t="e">
        <f t="shared" ca="1" si="29"/>
        <v>#NUM!</v>
      </c>
      <c r="H120" s="132" t="e">
        <f t="shared" ca="1" si="30"/>
        <v>#NUM!</v>
      </c>
      <c r="I120" s="131" t="e">
        <f t="shared" ca="1" si="31"/>
        <v>#NUM!</v>
      </c>
      <c r="J120" s="66"/>
      <c r="K120" s="11"/>
      <c r="L120" s="11"/>
      <c r="M120" s="6" t="e">
        <f t="shared" ca="1" si="32"/>
        <v>#NUM!</v>
      </c>
      <c r="N120" s="40" t="str">
        <f t="shared" si="23"/>
        <v>102기 보수</v>
      </c>
      <c r="O120" s="38" t="e">
        <f t="shared" ca="1" si="33"/>
        <v>#NUM!</v>
      </c>
      <c r="P120" s="38" t="e">
        <f t="shared" ca="1" si="34"/>
        <v>#NAME?</v>
      </c>
      <c r="Q120" s="38" t="e">
        <f t="shared" ca="1" si="35"/>
        <v>#NUM!</v>
      </c>
      <c r="R120" s="38" t="e">
        <f t="shared" ca="1" si="36"/>
        <v>#NUM!</v>
      </c>
      <c r="S120" s="38" t="e">
        <f t="shared" ca="1" si="37"/>
        <v>#NUM!</v>
      </c>
      <c r="T120" s="38" t="e">
        <f t="shared" ca="1" si="38"/>
        <v>#NUM!</v>
      </c>
    </row>
    <row r="121" spans="1:20" ht="20.25" customHeight="1">
      <c r="A121" s="62"/>
      <c r="B121" s="6" t="e">
        <f t="shared" ca="1" si="24"/>
        <v>#NUM!</v>
      </c>
      <c r="C121" s="117" t="e">
        <f t="shared" ca="1" si="25"/>
        <v>#NUM!</v>
      </c>
      <c r="D121" s="131" t="e">
        <f t="shared" ca="1" si="26"/>
        <v>#NUM!</v>
      </c>
      <c r="E121" s="131" t="e">
        <f t="shared" ca="1" si="27"/>
        <v>#NUM!</v>
      </c>
      <c r="F121" s="137" t="e">
        <f t="shared" ca="1" si="28"/>
        <v>#NUM!</v>
      </c>
      <c r="G121" s="132" t="e">
        <f t="shared" ca="1" si="29"/>
        <v>#NUM!</v>
      </c>
      <c r="H121" s="132" t="e">
        <f t="shared" ca="1" si="30"/>
        <v>#NUM!</v>
      </c>
      <c r="I121" s="131" t="e">
        <f t="shared" ca="1" si="31"/>
        <v>#NUM!</v>
      </c>
      <c r="J121" s="66"/>
      <c r="K121" s="11"/>
      <c r="L121" s="11"/>
      <c r="M121" s="6" t="e">
        <f t="shared" ca="1" si="32"/>
        <v>#NUM!</v>
      </c>
      <c r="N121" s="40" t="str">
        <f t="shared" si="23"/>
        <v>103기 보수</v>
      </c>
      <c r="O121" s="38" t="e">
        <f t="shared" ca="1" si="33"/>
        <v>#NUM!</v>
      </c>
      <c r="P121" s="38" t="e">
        <f t="shared" ca="1" si="34"/>
        <v>#NAME?</v>
      </c>
      <c r="Q121" s="38" t="e">
        <f t="shared" ca="1" si="35"/>
        <v>#NUM!</v>
      </c>
      <c r="R121" s="38" t="e">
        <f t="shared" ca="1" si="36"/>
        <v>#NUM!</v>
      </c>
      <c r="S121" s="38" t="e">
        <f t="shared" ca="1" si="37"/>
        <v>#NUM!</v>
      </c>
      <c r="T121" s="38" t="e">
        <f t="shared" ca="1" si="38"/>
        <v>#NUM!</v>
      </c>
    </row>
    <row r="122" spans="1:20" ht="20.25" customHeight="1">
      <c r="A122" s="62"/>
      <c r="B122" s="6" t="e">
        <f t="shared" ca="1" si="24"/>
        <v>#NUM!</v>
      </c>
      <c r="C122" s="117" t="e">
        <f t="shared" ca="1" si="25"/>
        <v>#NUM!</v>
      </c>
      <c r="D122" s="131" t="e">
        <f t="shared" ca="1" si="26"/>
        <v>#NUM!</v>
      </c>
      <c r="E122" s="131" t="e">
        <f t="shared" ca="1" si="27"/>
        <v>#NUM!</v>
      </c>
      <c r="F122" s="137" t="e">
        <f t="shared" ca="1" si="28"/>
        <v>#NUM!</v>
      </c>
      <c r="G122" s="132" t="e">
        <f t="shared" ca="1" si="29"/>
        <v>#NUM!</v>
      </c>
      <c r="H122" s="132" t="e">
        <f t="shared" ca="1" si="30"/>
        <v>#NUM!</v>
      </c>
      <c r="I122" s="131" t="e">
        <f t="shared" ca="1" si="31"/>
        <v>#NUM!</v>
      </c>
      <c r="J122" s="66"/>
      <c r="K122" s="11"/>
      <c r="L122" s="11"/>
      <c r="M122" s="6" t="e">
        <f t="shared" ca="1" si="32"/>
        <v>#NUM!</v>
      </c>
      <c r="N122" s="40" t="str">
        <f t="shared" si="23"/>
        <v>104기 보수</v>
      </c>
      <c r="O122" s="38" t="e">
        <f t="shared" ca="1" si="33"/>
        <v>#NUM!</v>
      </c>
      <c r="P122" s="38" t="e">
        <f t="shared" ca="1" si="34"/>
        <v>#NAME?</v>
      </c>
      <c r="Q122" s="38" t="e">
        <f t="shared" ca="1" si="35"/>
        <v>#NUM!</v>
      </c>
      <c r="R122" s="38" t="e">
        <f t="shared" ca="1" si="36"/>
        <v>#NUM!</v>
      </c>
      <c r="S122" s="38" t="e">
        <f t="shared" ca="1" si="37"/>
        <v>#NUM!</v>
      </c>
      <c r="T122" s="38" t="e">
        <f t="shared" ca="1" si="38"/>
        <v>#NUM!</v>
      </c>
    </row>
    <row r="123" spans="1:20" ht="20.25" customHeight="1">
      <c r="A123" s="62"/>
      <c r="B123" s="6" t="e">
        <f t="shared" ca="1" si="24"/>
        <v>#NUM!</v>
      </c>
      <c r="C123" s="117" t="e">
        <f t="shared" ca="1" si="25"/>
        <v>#NUM!</v>
      </c>
      <c r="D123" s="131" t="e">
        <f t="shared" ca="1" si="26"/>
        <v>#NUM!</v>
      </c>
      <c r="E123" s="131" t="e">
        <f t="shared" ca="1" si="27"/>
        <v>#NUM!</v>
      </c>
      <c r="F123" s="137" t="e">
        <f t="shared" ca="1" si="28"/>
        <v>#NUM!</v>
      </c>
      <c r="G123" s="132" t="e">
        <f t="shared" ca="1" si="29"/>
        <v>#NUM!</v>
      </c>
      <c r="H123" s="132" t="e">
        <f t="shared" ca="1" si="30"/>
        <v>#NUM!</v>
      </c>
      <c r="I123" s="131" t="e">
        <f t="shared" ca="1" si="31"/>
        <v>#NUM!</v>
      </c>
      <c r="J123" s="66"/>
      <c r="K123" s="11"/>
      <c r="L123" s="11"/>
      <c r="M123" s="6" t="e">
        <f t="shared" ca="1" si="32"/>
        <v>#NUM!</v>
      </c>
      <c r="N123" s="40" t="str">
        <f t="shared" si="23"/>
        <v>105기 보수</v>
      </c>
      <c r="O123" s="38" t="e">
        <f t="shared" ca="1" si="33"/>
        <v>#NUM!</v>
      </c>
      <c r="P123" s="38" t="e">
        <f t="shared" ca="1" si="34"/>
        <v>#NAME?</v>
      </c>
      <c r="Q123" s="38" t="e">
        <f t="shared" ca="1" si="35"/>
        <v>#NUM!</v>
      </c>
      <c r="R123" s="38" t="e">
        <f t="shared" ca="1" si="36"/>
        <v>#NUM!</v>
      </c>
      <c r="S123" s="38" t="e">
        <f t="shared" ca="1" si="37"/>
        <v>#NUM!</v>
      </c>
      <c r="T123" s="38" t="e">
        <f t="shared" ca="1" si="38"/>
        <v>#NUM!</v>
      </c>
    </row>
    <row r="124" spans="1:20" ht="20.25" customHeight="1">
      <c r="A124" s="62"/>
      <c r="B124" s="6" t="e">
        <f t="shared" ca="1" si="24"/>
        <v>#NUM!</v>
      </c>
      <c r="C124" s="117" t="e">
        <f t="shared" ca="1" si="25"/>
        <v>#NUM!</v>
      </c>
      <c r="D124" s="131" t="e">
        <f t="shared" ca="1" si="26"/>
        <v>#NUM!</v>
      </c>
      <c r="E124" s="131" t="e">
        <f t="shared" ca="1" si="27"/>
        <v>#NUM!</v>
      </c>
      <c r="F124" s="137" t="e">
        <f t="shared" ca="1" si="28"/>
        <v>#NUM!</v>
      </c>
      <c r="G124" s="132" t="e">
        <f t="shared" ca="1" si="29"/>
        <v>#NUM!</v>
      </c>
      <c r="H124" s="132" t="e">
        <f t="shared" ca="1" si="30"/>
        <v>#NUM!</v>
      </c>
      <c r="I124" s="131" t="e">
        <f t="shared" ca="1" si="31"/>
        <v>#NUM!</v>
      </c>
      <c r="J124" s="66"/>
      <c r="K124" s="11"/>
      <c r="L124" s="11"/>
      <c r="M124" s="6" t="e">
        <f t="shared" ca="1" si="32"/>
        <v>#NUM!</v>
      </c>
      <c r="N124" s="40" t="str">
        <f t="shared" si="23"/>
        <v>106기 보수</v>
      </c>
      <c r="O124" s="38" t="e">
        <f t="shared" ca="1" si="33"/>
        <v>#NUM!</v>
      </c>
      <c r="P124" s="38" t="e">
        <f t="shared" ca="1" si="34"/>
        <v>#NAME?</v>
      </c>
      <c r="Q124" s="38" t="e">
        <f t="shared" ca="1" si="35"/>
        <v>#NUM!</v>
      </c>
      <c r="R124" s="38" t="e">
        <f t="shared" ca="1" si="36"/>
        <v>#NUM!</v>
      </c>
      <c r="S124" s="38" t="e">
        <f t="shared" ca="1" si="37"/>
        <v>#NUM!</v>
      </c>
      <c r="T124" s="38" t="e">
        <f t="shared" ca="1" si="38"/>
        <v>#NUM!</v>
      </c>
    </row>
    <row r="125" spans="1:20" ht="20.25" customHeight="1">
      <c r="A125" s="62"/>
      <c r="B125" s="6" t="e">
        <f t="shared" ca="1" si="24"/>
        <v>#NUM!</v>
      </c>
      <c r="C125" s="117" t="e">
        <f t="shared" ca="1" si="25"/>
        <v>#NUM!</v>
      </c>
      <c r="D125" s="131" t="e">
        <f t="shared" ca="1" si="26"/>
        <v>#NUM!</v>
      </c>
      <c r="E125" s="131" t="e">
        <f t="shared" ca="1" si="27"/>
        <v>#NUM!</v>
      </c>
      <c r="F125" s="137" t="e">
        <f t="shared" ca="1" si="28"/>
        <v>#NUM!</v>
      </c>
      <c r="G125" s="132" t="e">
        <f t="shared" ca="1" si="29"/>
        <v>#NUM!</v>
      </c>
      <c r="H125" s="132" t="e">
        <f t="shared" ca="1" si="30"/>
        <v>#NUM!</v>
      </c>
      <c r="I125" s="131" t="e">
        <f t="shared" ca="1" si="31"/>
        <v>#NUM!</v>
      </c>
      <c r="J125" s="66"/>
      <c r="K125" s="11"/>
      <c r="L125" s="11"/>
      <c r="M125" s="6" t="e">
        <f t="shared" ca="1" si="32"/>
        <v>#NUM!</v>
      </c>
      <c r="N125" s="40" t="str">
        <f t="shared" si="23"/>
        <v>107기 보수</v>
      </c>
      <c r="O125" s="38" t="e">
        <f t="shared" ca="1" si="33"/>
        <v>#NUM!</v>
      </c>
      <c r="P125" s="38" t="e">
        <f t="shared" ca="1" si="34"/>
        <v>#NAME?</v>
      </c>
      <c r="Q125" s="38" t="e">
        <f t="shared" ca="1" si="35"/>
        <v>#NUM!</v>
      </c>
      <c r="R125" s="38" t="e">
        <f t="shared" ca="1" si="36"/>
        <v>#NUM!</v>
      </c>
      <c r="S125" s="38" t="e">
        <f t="shared" ca="1" si="37"/>
        <v>#NUM!</v>
      </c>
      <c r="T125" s="38" t="e">
        <f t="shared" ca="1" si="38"/>
        <v>#NUM!</v>
      </c>
    </row>
    <row r="126" spans="1:20" ht="20.25" customHeight="1">
      <c r="A126" s="62"/>
      <c r="B126" s="6" t="e">
        <f t="shared" ca="1" si="24"/>
        <v>#NUM!</v>
      </c>
      <c r="C126" s="117" t="e">
        <f t="shared" ca="1" si="25"/>
        <v>#NUM!</v>
      </c>
      <c r="D126" s="131" t="e">
        <f t="shared" ca="1" si="26"/>
        <v>#NUM!</v>
      </c>
      <c r="E126" s="131" t="e">
        <f t="shared" ca="1" si="27"/>
        <v>#NUM!</v>
      </c>
      <c r="F126" s="137" t="e">
        <f t="shared" ca="1" si="28"/>
        <v>#NUM!</v>
      </c>
      <c r="G126" s="132" t="e">
        <f t="shared" ca="1" si="29"/>
        <v>#NUM!</v>
      </c>
      <c r="H126" s="132" t="e">
        <f t="shared" ca="1" si="30"/>
        <v>#NUM!</v>
      </c>
      <c r="I126" s="131" t="e">
        <f t="shared" ca="1" si="31"/>
        <v>#NUM!</v>
      </c>
      <c r="J126" s="66"/>
      <c r="K126" s="11"/>
      <c r="L126" s="11"/>
      <c r="M126" s="6" t="e">
        <f t="shared" ca="1" si="32"/>
        <v>#NUM!</v>
      </c>
      <c r="N126" s="40" t="str">
        <f t="shared" si="23"/>
        <v>108기 보수</v>
      </c>
      <c r="O126" s="38" t="e">
        <f t="shared" ca="1" si="33"/>
        <v>#NUM!</v>
      </c>
      <c r="P126" s="38" t="e">
        <f t="shared" ca="1" si="34"/>
        <v>#NAME?</v>
      </c>
      <c r="Q126" s="38" t="e">
        <f t="shared" ca="1" si="35"/>
        <v>#NUM!</v>
      </c>
      <c r="R126" s="38" t="e">
        <f t="shared" ca="1" si="36"/>
        <v>#NUM!</v>
      </c>
      <c r="S126" s="38" t="e">
        <f t="shared" ca="1" si="37"/>
        <v>#NUM!</v>
      </c>
      <c r="T126" s="38" t="e">
        <f t="shared" ca="1" si="38"/>
        <v>#NUM!</v>
      </c>
    </row>
    <row r="127" spans="1:20" ht="20.25" customHeight="1">
      <c r="A127" s="62"/>
      <c r="B127" s="6" t="e">
        <f t="shared" ca="1" si="24"/>
        <v>#NUM!</v>
      </c>
      <c r="C127" s="117" t="e">
        <f t="shared" ca="1" si="25"/>
        <v>#NUM!</v>
      </c>
      <c r="D127" s="131" t="e">
        <f t="shared" ca="1" si="26"/>
        <v>#NUM!</v>
      </c>
      <c r="E127" s="131" t="e">
        <f t="shared" ca="1" si="27"/>
        <v>#NUM!</v>
      </c>
      <c r="F127" s="137" t="e">
        <f t="shared" ca="1" si="28"/>
        <v>#NUM!</v>
      </c>
      <c r="G127" s="132" t="e">
        <f t="shared" ca="1" si="29"/>
        <v>#NUM!</v>
      </c>
      <c r="H127" s="132" t="e">
        <f t="shared" ca="1" si="30"/>
        <v>#NUM!</v>
      </c>
      <c r="I127" s="131" t="e">
        <f t="shared" ca="1" si="31"/>
        <v>#NUM!</v>
      </c>
      <c r="J127" s="66"/>
      <c r="K127" s="11"/>
      <c r="L127" s="11"/>
      <c r="M127" s="6" t="e">
        <f t="shared" ca="1" si="32"/>
        <v>#NUM!</v>
      </c>
      <c r="N127" s="40" t="str">
        <f t="shared" si="23"/>
        <v>109기 보수</v>
      </c>
      <c r="O127" s="38" t="e">
        <f t="shared" ca="1" si="33"/>
        <v>#NUM!</v>
      </c>
      <c r="P127" s="38" t="e">
        <f t="shared" ca="1" si="34"/>
        <v>#NAME?</v>
      </c>
      <c r="Q127" s="38" t="e">
        <f t="shared" ca="1" si="35"/>
        <v>#NUM!</v>
      </c>
      <c r="R127" s="38" t="e">
        <f t="shared" ca="1" si="36"/>
        <v>#NUM!</v>
      </c>
      <c r="S127" s="38" t="e">
        <f t="shared" ca="1" si="37"/>
        <v>#NUM!</v>
      </c>
      <c r="T127" s="38" t="e">
        <f t="shared" ca="1" si="38"/>
        <v>#NUM!</v>
      </c>
    </row>
    <row r="128" spans="1:20" ht="20.25" customHeight="1">
      <c r="A128" s="62"/>
      <c r="B128" s="6" t="e">
        <f t="shared" ca="1" si="24"/>
        <v>#NUM!</v>
      </c>
      <c r="C128" s="117" t="e">
        <f t="shared" ca="1" si="25"/>
        <v>#NUM!</v>
      </c>
      <c r="D128" s="131" t="e">
        <f t="shared" ca="1" si="26"/>
        <v>#NUM!</v>
      </c>
      <c r="E128" s="131" t="e">
        <f t="shared" ca="1" si="27"/>
        <v>#NUM!</v>
      </c>
      <c r="F128" s="137" t="e">
        <f t="shared" ca="1" si="28"/>
        <v>#NUM!</v>
      </c>
      <c r="G128" s="132" t="e">
        <f t="shared" ca="1" si="29"/>
        <v>#NUM!</v>
      </c>
      <c r="H128" s="132" t="e">
        <f t="shared" ca="1" si="30"/>
        <v>#NUM!</v>
      </c>
      <c r="I128" s="131" t="e">
        <f t="shared" ca="1" si="31"/>
        <v>#NUM!</v>
      </c>
      <c r="J128" s="66"/>
      <c r="K128" s="11"/>
      <c r="L128" s="11"/>
      <c r="M128" s="6" t="e">
        <f t="shared" ca="1" si="32"/>
        <v>#NUM!</v>
      </c>
      <c r="N128" s="40" t="str">
        <f t="shared" si="23"/>
        <v>110기 보수</v>
      </c>
      <c r="O128" s="38" t="e">
        <f t="shared" ca="1" si="33"/>
        <v>#NUM!</v>
      </c>
      <c r="P128" s="38" t="e">
        <f t="shared" ca="1" si="34"/>
        <v>#NAME?</v>
      </c>
      <c r="Q128" s="38" t="e">
        <f t="shared" ca="1" si="35"/>
        <v>#NUM!</v>
      </c>
      <c r="R128" s="38" t="e">
        <f t="shared" ca="1" si="36"/>
        <v>#NUM!</v>
      </c>
      <c r="S128" s="38" t="e">
        <f t="shared" ca="1" si="37"/>
        <v>#NUM!</v>
      </c>
      <c r="T128" s="38" t="e">
        <f t="shared" ca="1" si="38"/>
        <v>#NUM!</v>
      </c>
    </row>
    <row r="129" spans="1:20" ht="20.25" customHeight="1">
      <c r="A129" s="62"/>
      <c r="B129" s="6" t="e">
        <f t="shared" ca="1" si="24"/>
        <v>#NUM!</v>
      </c>
      <c r="C129" s="117" t="e">
        <f t="shared" ca="1" si="25"/>
        <v>#NUM!</v>
      </c>
      <c r="D129" s="131" t="e">
        <f t="shared" ca="1" si="26"/>
        <v>#NUM!</v>
      </c>
      <c r="E129" s="131" t="e">
        <f t="shared" ca="1" si="27"/>
        <v>#NUM!</v>
      </c>
      <c r="F129" s="137" t="e">
        <f t="shared" ca="1" si="28"/>
        <v>#NUM!</v>
      </c>
      <c r="G129" s="132" t="e">
        <f t="shared" ca="1" si="29"/>
        <v>#NUM!</v>
      </c>
      <c r="H129" s="132" t="e">
        <f t="shared" ca="1" si="30"/>
        <v>#NUM!</v>
      </c>
      <c r="I129" s="131" t="e">
        <f t="shared" ca="1" si="31"/>
        <v>#NUM!</v>
      </c>
      <c r="J129" s="66"/>
      <c r="K129" s="11"/>
      <c r="L129" s="11"/>
      <c r="M129" s="6" t="e">
        <f t="shared" ca="1" si="32"/>
        <v>#NUM!</v>
      </c>
      <c r="N129" s="40" t="str">
        <f t="shared" si="23"/>
        <v>111기 보수</v>
      </c>
      <c r="O129" s="38" t="e">
        <f t="shared" ca="1" si="33"/>
        <v>#NUM!</v>
      </c>
      <c r="P129" s="38" t="e">
        <f t="shared" ca="1" si="34"/>
        <v>#NAME?</v>
      </c>
      <c r="Q129" s="38" t="e">
        <f t="shared" ca="1" si="35"/>
        <v>#NUM!</v>
      </c>
      <c r="R129" s="38" t="e">
        <f t="shared" ca="1" si="36"/>
        <v>#NUM!</v>
      </c>
      <c r="S129" s="38" t="e">
        <f t="shared" ca="1" si="37"/>
        <v>#NUM!</v>
      </c>
      <c r="T129" s="38" t="e">
        <f t="shared" ca="1" si="38"/>
        <v>#NUM!</v>
      </c>
    </row>
    <row r="130" spans="1:20" ht="20.25" customHeight="1">
      <c r="A130" s="62"/>
      <c r="B130" s="6" t="e">
        <f t="shared" ca="1" si="24"/>
        <v>#NUM!</v>
      </c>
      <c r="C130" s="117" t="e">
        <f t="shared" ca="1" si="25"/>
        <v>#NUM!</v>
      </c>
      <c r="D130" s="131" t="e">
        <f t="shared" ca="1" si="26"/>
        <v>#NUM!</v>
      </c>
      <c r="E130" s="131" t="e">
        <f t="shared" ca="1" si="27"/>
        <v>#NUM!</v>
      </c>
      <c r="F130" s="137" t="e">
        <f t="shared" ca="1" si="28"/>
        <v>#NUM!</v>
      </c>
      <c r="G130" s="132" t="e">
        <f t="shared" ca="1" si="29"/>
        <v>#NUM!</v>
      </c>
      <c r="H130" s="132" t="e">
        <f t="shared" ca="1" si="30"/>
        <v>#NUM!</v>
      </c>
      <c r="I130" s="131" t="e">
        <f t="shared" ca="1" si="31"/>
        <v>#NUM!</v>
      </c>
      <c r="J130" s="66"/>
      <c r="K130" s="11"/>
      <c r="L130" s="11"/>
      <c r="M130" s="6" t="e">
        <f t="shared" ca="1" si="32"/>
        <v>#NUM!</v>
      </c>
      <c r="N130" s="40" t="str">
        <f t="shared" si="23"/>
        <v>112기 보수</v>
      </c>
      <c r="O130" s="38" t="e">
        <f t="shared" ca="1" si="33"/>
        <v>#NUM!</v>
      </c>
      <c r="P130" s="38" t="e">
        <f t="shared" ca="1" si="34"/>
        <v>#NAME?</v>
      </c>
      <c r="Q130" s="38" t="e">
        <f t="shared" ca="1" si="35"/>
        <v>#NUM!</v>
      </c>
      <c r="R130" s="38" t="e">
        <f t="shared" ca="1" si="36"/>
        <v>#NUM!</v>
      </c>
      <c r="S130" s="38" t="e">
        <f t="shared" ca="1" si="37"/>
        <v>#NUM!</v>
      </c>
      <c r="T130" s="38" t="e">
        <f t="shared" ca="1" si="38"/>
        <v>#NUM!</v>
      </c>
    </row>
    <row r="131" spans="1:20" ht="20.25" customHeight="1">
      <c r="A131" s="62"/>
      <c r="B131" s="6" t="e">
        <f t="shared" ca="1" si="24"/>
        <v>#NUM!</v>
      </c>
      <c r="C131" s="117" t="e">
        <f t="shared" ca="1" si="25"/>
        <v>#NUM!</v>
      </c>
      <c r="D131" s="131" t="e">
        <f t="shared" ca="1" si="26"/>
        <v>#NUM!</v>
      </c>
      <c r="E131" s="131" t="e">
        <f t="shared" ca="1" si="27"/>
        <v>#NUM!</v>
      </c>
      <c r="F131" s="137" t="e">
        <f t="shared" ca="1" si="28"/>
        <v>#NUM!</v>
      </c>
      <c r="G131" s="132" t="e">
        <f t="shared" ca="1" si="29"/>
        <v>#NUM!</v>
      </c>
      <c r="H131" s="132" t="e">
        <f t="shared" ca="1" si="30"/>
        <v>#NUM!</v>
      </c>
      <c r="I131" s="131" t="e">
        <f t="shared" ca="1" si="31"/>
        <v>#NUM!</v>
      </c>
      <c r="J131" s="66"/>
      <c r="K131" s="11"/>
      <c r="L131" s="11"/>
      <c r="M131" s="6" t="e">
        <f t="shared" ca="1" si="32"/>
        <v>#NUM!</v>
      </c>
      <c r="N131" s="40" t="str">
        <f t="shared" si="23"/>
        <v>113기 보수</v>
      </c>
      <c r="O131" s="38" t="e">
        <f t="shared" ca="1" si="33"/>
        <v>#NUM!</v>
      </c>
      <c r="P131" s="38" t="e">
        <f t="shared" ca="1" si="34"/>
        <v>#NAME?</v>
      </c>
      <c r="Q131" s="38" t="e">
        <f t="shared" ca="1" si="35"/>
        <v>#NUM!</v>
      </c>
      <c r="R131" s="38" t="e">
        <f t="shared" ca="1" si="36"/>
        <v>#NUM!</v>
      </c>
      <c r="S131" s="38" t="e">
        <f t="shared" ca="1" si="37"/>
        <v>#NUM!</v>
      </c>
      <c r="T131" s="38" t="e">
        <f t="shared" ca="1" si="38"/>
        <v>#NUM!</v>
      </c>
    </row>
    <row r="132" spans="1:20" ht="20.25" customHeight="1">
      <c r="A132" s="62"/>
      <c r="B132" s="6" t="e">
        <f t="shared" ca="1" si="24"/>
        <v>#NUM!</v>
      </c>
      <c r="C132" s="117" t="e">
        <f t="shared" ca="1" si="25"/>
        <v>#NUM!</v>
      </c>
      <c r="D132" s="131" t="e">
        <f t="shared" ca="1" si="26"/>
        <v>#NUM!</v>
      </c>
      <c r="E132" s="131" t="e">
        <f t="shared" ca="1" si="27"/>
        <v>#NUM!</v>
      </c>
      <c r="F132" s="137" t="e">
        <f t="shared" ca="1" si="28"/>
        <v>#NUM!</v>
      </c>
      <c r="G132" s="132" t="e">
        <f t="shared" ca="1" si="29"/>
        <v>#NUM!</v>
      </c>
      <c r="H132" s="132" t="e">
        <f t="shared" ca="1" si="30"/>
        <v>#NUM!</v>
      </c>
      <c r="I132" s="131" t="e">
        <f t="shared" ca="1" si="31"/>
        <v>#NUM!</v>
      </c>
      <c r="J132" s="66"/>
      <c r="K132" s="11"/>
      <c r="L132" s="11"/>
      <c r="M132" s="6" t="e">
        <f t="shared" ca="1" si="32"/>
        <v>#NUM!</v>
      </c>
      <c r="N132" s="40" t="str">
        <f t="shared" si="23"/>
        <v>114기 보수</v>
      </c>
      <c r="O132" s="38" t="e">
        <f t="shared" ca="1" si="33"/>
        <v>#NUM!</v>
      </c>
      <c r="P132" s="38" t="e">
        <f t="shared" ca="1" si="34"/>
        <v>#NAME?</v>
      </c>
      <c r="Q132" s="38" t="e">
        <f t="shared" ca="1" si="35"/>
        <v>#NUM!</v>
      </c>
      <c r="R132" s="38" t="e">
        <f t="shared" ca="1" si="36"/>
        <v>#NUM!</v>
      </c>
      <c r="S132" s="38" t="e">
        <f t="shared" ca="1" si="37"/>
        <v>#NUM!</v>
      </c>
      <c r="T132" s="38" t="e">
        <f t="shared" ca="1" si="38"/>
        <v>#NUM!</v>
      </c>
    </row>
    <row r="133" spans="1:20" ht="20.25" customHeight="1">
      <c r="A133" s="62"/>
      <c r="B133" s="6" t="e">
        <f t="shared" ca="1" si="24"/>
        <v>#NUM!</v>
      </c>
      <c r="C133" s="117" t="e">
        <f t="shared" ca="1" si="25"/>
        <v>#NUM!</v>
      </c>
      <c r="D133" s="131" t="e">
        <f t="shared" ca="1" si="26"/>
        <v>#NUM!</v>
      </c>
      <c r="E133" s="131" t="e">
        <f t="shared" ca="1" si="27"/>
        <v>#NUM!</v>
      </c>
      <c r="F133" s="137" t="e">
        <f t="shared" ca="1" si="28"/>
        <v>#NUM!</v>
      </c>
      <c r="G133" s="132" t="e">
        <f t="shared" ca="1" si="29"/>
        <v>#NUM!</v>
      </c>
      <c r="H133" s="132" t="e">
        <f t="shared" ca="1" si="30"/>
        <v>#NUM!</v>
      </c>
      <c r="I133" s="131" t="e">
        <f t="shared" ca="1" si="31"/>
        <v>#NUM!</v>
      </c>
      <c r="J133" s="66"/>
      <c r="K133" s="11"/>
      <c r="L133" s="11"/>
      <c r="M133" s="6" t="e">
        <f t="shared" ca="1" si="32"/>
        <v>#NUM!</v>
      </c>
      <c r="N133" s="40" t="str">
        <f t="shared" si="23"/>
        <v>115기 보수</v>
      </c>
      <c r="O133" s="38" t="e">
        <f t="shared" ca="1" si="33"/>
        <v>#NUM!</v>
      </c>
      <c r="P133" s="38" t="e">
        <f t="shared" ca="1" si="34"/>
        <v>#NAME?</v>
      </c>
      <c r="Q133" s="38" t="e">
        <f t="shared" ca="1" si="35"/>
        <v>#NUM!</v>
      </c>
      <c r="R133" s="38" t="e">
        <f t="shared" ca="1" si="36"/>
        <v>#NUM!</v>
      </c>
      <c r="S133" s="38" t="e">
        <f t="shared" ca="1" si="37"/>
        <v>#NUM!</v>
      </c>
      <c r="T133" s="38" t="e">
        <f t="shared" ca="1" si="38"/>
        <v>#NUM!</v>
      </c>
    </row>
    <row r="134" spans="1:20" ht="20.25" customHeight="1">
      <c r="A134" s="62"/>
      <c r="B134" s="6" t="e">
        <f t="shared" ca="1" si="24"/>
        <v>#NUM!</v>
      </c>
      <c r="C134" s="117" t="e">
        <f t="shared" ca="1" si="25"/>
        <v>#NUM!</v>
      </c>
      <c r="D134" s="131" t="e">
        <f t="shared" ca="1" si="26"/>
        <v>#NUM!</v>
      </c>
      <c r="E134" s="131" t="e">
        <f t="shared" ca="1" si="27"/>
        <v>#NUM!</v>
      </c>
      <c r="F134" s="137" t="e">
        <f t="shared" ca="1" si="28"/>
        <v>#NUM!</v>
      </c>
      <c r="G134" s="132" t="e">
        <f t="shared" ca="1" si="29"/>
        <v>#NUM!</v>
      </c>
      <c r="H134" s="132" t="e">
        <f t="shared" ca="1" si="30"/>
        <v>#NUM!</v>
      </c>
      <c r="I134" s="131" t="e">
        <f t="shared" ca="1" si="31"/>
        <v>#NUM!</v>
      </c>
      <c r="J134" s="66"/>
      <c r="K134" s="11"/>
      <c r="L134" s="11"/>
      <c r="M134" s="6" t="e">
        <f t="shared" ca="1" si="32"/>
        <v>#NUM!</v>
      </c>
      <c r="N134" s="40" t="str">
        <f t="shared" si="23"/>
        <v>116기 보수</v>
      </c>
      <c r="O134" s="38" t="e">
        <f t="shared" ca="1" si="33"/>
        <v>#NUM!</v>
      </c>
      <c r="P134" s="38" t="e">
        <f t="shared" ca="1" si="34"/>
        <v>#NAME?</v>
      </c>
      <c r="Q134" s="38" t="e">
        <f t="shared" ca="1" si="35"/>
        <v>#NUM!</v>
      </c>
      <c r="R134" s="38" t="e">
        <f t="shared" ca="1" si="36"/>
        <v>#NUM!</v>
      </c>
      <c r="S134" s="38" t="e">
        <f t="shared" ca="1" si="37"/>
        <v>#NUM!</v>
      </c>
      <c r="T134" s="38" t="e">
        <f t="shared" ca="1" si="38"/>
        <v>#NUM!</v>
      </c>
    </row>
    <row r="135" spans="1:20" ht="20.25" customHeight="1">
      <c r="A135" s="62"/>
      <c r="B135" s="6" t="e">
        <f t="shared" ca="1" si="24"/>
        <v>#NUM!</v>
      </c>
      <c r="C135" s="117" t="e">
        <f t="shared" ca="1" si="25"/>
        <v>#NUM!</v>
      </c>
      <c r="D135" s="131" t="e">
        <f t="shared" ca="1" si="26"/>
        <v>#NUM!</v>
      </c>
      <c r="E135" s="131" t="e">
        <f t="shared" ca="1" si="27"/>
        <v>#NUM!</v>
      </c>
      <c r="F135" s="137" t="e">
        <f t="shared" ca="1" si="28"/>
        <v>#NUM!</v>
      </c>
      <c r="G135" s="132" t="e">
        <f t="shared" ca="1" si="29"/>
        <v>#NUM!</v>
      </c>
      <c r="H135" s="132" t="e">
        <f t="shared" ca="1" si="30"/>
        <v>#NUM!</v>
      </c>
      <c r="I135" s="131" t="e">
        <f t="shared" ca="1" si="31"/>
        <v>#NUM!</v>
      </c>
      <c r="J135" s="66"/>
      <c r="K135" s="11"/>
      <c r="L135" s="11"/>
      <c r="M135" s="6" t="e">
        <f t="shared" ca="1" si="32"/>
        <v>#NUM!</v>
      </c>
      <c r="N135" s="40" t="str">
        <f t="shared" si="23"/>
        <v>117기 보수</v>
      </c>
      <c r="O135" s="38" t="e">
        <f t="shared" ca="1" si="33"/>
        <v>#NUM!</v>
      </c>
      <c r="P135" s="38" t="e">
        <f t="shared" ca="1" si="34"/>
        <v>#NAME?</v>
      </c>
      <c r="Q135" s="38" t="e">
        <f t="shared" ca="1" si="35"/>
        <v>#NUM!</v>
      </c>
      <c r="R135" s="38" t="e">
        <f t="shared" ca="1" si="36"/>
        <v>#NUM!</v>
      </c>
      <c r="S135" s="38" t="e">
        <f t="shared" ca="1" si="37"/>
        <v>#NUM!</v>
      </c>
      <c r="T135" s="38" t="e">
        <f t="shared" ca="1" si="38"/>
        <v>#NUM!</v>
      </c>
    </row>
    <row r="136" spans="1:20" ht="20.25" customHeight="1">
      <c r="A136" s="62"/>
      <c r="B136" s="6" t="e">
        <f t="shared" ca="1" si="24"/>
        <v>#NUM!</v>
      </c>
      <c r="C136" s="117" t="e">
        <f t="shared" ca="1" si="25"/>
        <v>#NUM!</v>
      </c>
      <c r="D136" s="131" t="e">
        <f t="shared" ca="1" si="26"/>
        <v>#NUM!</v>
      </c>
      <c r="E136" s="131" t="e">
        <f t="shared" ca="1" si="27"/>
        <v>#NUM!</v>
      </c>
      <c r="F136" s="137" t="e">
        <f t="shared" ca="1" si="28"/>
        <v>#NUM!</v>
      </c>
      <c r="G136" s="132" t="e">
        <f t="shared" ca="1" si="29"/>
        <v>#NUM!</v>
      </c>
      <c r="H136" s="132" t="e">
        <f t="shared" ca="1" si="30"/>
        <v>#NUM!</v>
      </c>
      <c r="I136" s="131" t="e">
        <f t="shared" ca="1" si="31"/>
        <v>#NUM!</v>
      </c>
      <c r="J136" s="66"/>
      <c r="K136" s="11"/>
      <c r="L136" s="11"/>
      <c r="M136" s="6" t="e">
        <f t="shared" ca="1" si="32"/>
        <v>#NUM!</v>
      </c>
      <c r="N136" s="40" t="str">
        <f t="shared" si="23"/>
        <v>118기 보수</v>
      </c>
      <c r="O136" s="38" t="e">
        <f t="shared" ca="1" si="33"/>
        <v>#NUM!</v>
      </c>
      <c r="P136" s="38" t="e">
        <f t="shared" ca="1" si="34"/>
        <v>#NAME?</v>
      </c>
      <c r="Q136" s="38" t="e">
        <f t="shared" ca="1" si="35"/>
        <v>#NUM!</v>
      </c>
      <c r="R136" s="38" t="e">
        <f t="shared" ca="1" si="36"/>
        <v>#NUM!</v>
      </c>
      <c r="S136" s="38" t="e">
        <f t="shared" ca="1" si="37"/>
        <v>#NUM!</v>
      </c>
      <c r="T136" s="38" t="e">
        <f t="shared" ca="1" si="38"/>
        <v>#NUM!</v>
      </c>
    </row>
    <row r="137" spans="1:20" ht="20.25" customHeight="1">
      <c r="A137" s="62"/>
      <c r="B137" s="6" t="e">
        <f t="shared" ca="1" si="24"/>
        <v>#NUM!</v>
      </c>
      <c r="C137" s="117" t="e">
        <f t="shared" ca="1" si="25"/>
        <v>#NUM!</v>
      </c>
      <c r="D137" s="131" t="e">
        <f t="shared" ca="1" si="26"/>
        <v>#NUM!</v>
      </c>
      <c r="E137" s="131" t="e">
        <f t="shared" ca="1" si="27"/>
        <v>#NUM!</v>
      </c>
      <c r="F137" s="137" t="e">
        <f t="shared" ca="1" si="28"/>
        <v>#NUM!</v>
      </c>
      <c r="G137" s="132" t="e">
        <f t="shared" ca="1" si="29"/>
        <v>#NUM!</v>
      </c>
      <c r="H137" s="132" t="e">
        <f t="shared" ca="1" si="30"/>
        <v>#NUM!</v>
      </c>
      <c r="I137" s="131" t="e">
        <f t="shared" ca="1" si="31"/>
        <v>#NUM!</v>
      </c>
      <c r="J137" s="66"/>
      <c r="K137" s="11"/>
      <c r="L137" s="11"/>
      <c r="M137" s="6" t="e">
        <f t="shared" ca="1" si="32"/>
        <v>#NUM!</v>
      </c>
      <c r="N137" s="40" t="str">
        <f t="shared" si="23"/>
        <v>119기 보수</v>
      </c>
      <c r="O137" s="38" t="e">
        <f t="shared" ca="1" si="33"/>
        <v>#NUM!</v>
      </c>
      <c r="P137" s="38" t="e">
        <f t="shared" ca="1" si="34"/>
        <v>#NAME?</v>
      </c>
      <c r="Q137" s="38" t="e">
        <f t="shared" ca="1" si="35"/>
        <v>#NUM!</v>
      </c>
      <c r="R137" s="38" t="e">
        <f t="shared" ca="1" si="36"/>
        <v>#NUM!</v>
      </c>
      <c r="S137" s="38" t="e">
        <f t="shared" ca="1" si="37"/>
        <v>#NUM!</v>
      </c>
      <c r="T137" s="38" t="e">
        <f t="shared" ca="1" si="38"/>
        <v>#NUM!</v>
      </c>
    </row>
    <row r="138" spans="1:20" ht="20.25" customHeight="1">
      <c r="A138" s="62"/>
      <c r="B138" s="6" t="e">
        <f t="shared" ca="1" si="24"/>
        <v>#NUM!</v>
      </c>
      <c r="C138" s="117" t="e">
        <f t="shared" ca="1" si="25"/>
        <v>#NUM!</v>
      </c>
      <c r="D138" s="131" t="e">
        <f t="shared" ca="1" si="26"/>
        <v>#NUM!</v>
      </c>
      <c r="E138" s="131" t="e">
        <f t="shared" ca="1" si="27"/>
        <v>#NUM!</v>
      </c>
      <c r="F138" s="137" t="e">
        <f t="shared" ca="1" si="28"/>
        <v>#NUM!</v>
      </c>
      <c r="G138" s="132" t="e">
        <f t="shared" ca="1" si="29"/>
        <v>#NUM!</v>
      </c>
      <c r="H138" s="132" t="e">
        <f t="shared" ca="1" si="30"/>
        <v>#NUM!</v>
      </c>
      <c r="I138" s="131" t="e">
        <f t="shared" ca="1" si="31"/>
        <v>#NUM!</v>
      </c>
      <c r="J138" s="66"/>
      <c r="K138" s="11"/>
      <c r="L138" s="11"/>
      <c r="M138" s="6" t="e">
        <f t="shared" ca="1" si="32"/>
        <v>#NUM!</v>
      </c>
      <c r="N138" s="40" t="str">
        <f t="shared" si="23"/>
        <v>120기 보수</v>
      </c>
      <c r="O138" s="38" t="e">
        <f t="shared" ca="1" si="33"/>
        <v>#NUM!</v>
      </c>
      <c r="P138" s="38" t="e">
        <f t="shared" ca="1" si="34"/>
        <v>#NAME?</v>
      </c>
      <c r="Q138" s="38" t="e">
        <f t="shared" ca="1" si="35"/>
        <v>#NUM!</v>
      </c>
      <c r="R138" s="38" t="e">
        <f t="shared" ca="1" si="36"/>
        <v>#NUM!</v>
      </c>
      <c r="S138" s="38" t="e">
        <f t="shared" ca="1" si="37"/>
        <v>#NUM!</v>
      </c>
      <c r="T138" s="38" t="e">
        <f t="shared" ca="1" si="38"/>
        <v>#NUM!</v>
      </c>
    </row>
    <row r="139" spans="1:20" ht="20.25" customHeight="1">
      <c r="A139" s="62"/>
      <c r="B139" s="6" t="e">
        <f t="shared" ca="1" si="24"/>
        <v>#NUM!</v>
      </c>
      <c r="C139" s="117" t="e">
        <f t="shared" ca="1" si="25"/>
        <v>#NUM!</v>
      </c>
      <c r="D139" s="131" t="e">
        <f t="shared" ca="1" si="26"/>
        <v>#NUM!</v>
      </c>
      <c r="E139" s="131" t="e">
        <f t="shared" ca="1" si="27"/>
        <v>#NUM!</v>
      </c>
      <c r="F139" s="137" t="e">
        <f t="shared" ca="1" si="28"/>
        <v>#NUM!</v>
      </c>
      <c r="G139" s="132" t="e">
        <f t="shared" ca="1" si="29"/>
        <v>#NUM!</v>
      </c>
      <c r="H139" s="132" t="e">
        <f t="shared" ca="1" si="30"/>
        <v>#NUM!</v>
      </c>
      <c r="I139" s="131" t="e">
        <f t="shared" ca="1" si="31"/>
        <v>#NUM!</v>
      </c>
      <c r="J139" s="66"/>
      <c r="K139" s="11"/>
      <c r="L139" s="11"/>
      <c r="M139" s="6" t="e">
        <f t="shared" ca="1" si="32"/>
        <v>#NUM!</v>
      </c>
      <c r="N139" s="40" t="str">
        <f t="shared" si="23"/>
        <v>121기 보수</v>
      </c>
      <c r="O139" s="38" t="e">
        <f t="shared" ca="1" si="33"/>
        <v>#NUM!</v>
      </c>
      <c r="P139" s="38" t="e">
        <f t="shared" ca="1" si="34"/>
        <v>#NAME?</v>
      </c>
      <c r="Q139" s="38" t="e">
        <f t="shared" ca="1" si="35"/>
        <v>#NUM!</v>
      </c>
      <c r="R139" s="38" t="e">
        <f t="shared" ca="1" si="36"/>
        <v>#NUM!</v>
      </c>
      <c r="S139" s="38" t="e">
        <f t="shared" ca="1" si="37"/>
        <v>#NUM!</v>
      </c>
      <c r="T139" s="38" t="e">
        <f t="shared" ca="1" si="38"/>
        <v>#NUM!</v>
      </c>
    </row>
    <row r="140" spans="1:20" ht="20.25" customHeight="1">
      <c r="A140" s="62"/>
      <c r="B140" s="6" t="e">
        <f t="shared" ca="1" si="24"/>
        <v>#NUM!</v>
      </c>
      <c r="C140" s="117" t="e">
        <f t="shared" ca="1" si="25"/>
        <v>#NUM!</v>
      </c>
      <c r="D140" s="131" t="e">
        <f t="shared" ca="1" si="26"/>
        <v>#NUM!</v>
      </c>
      <c r="E140" s="131" t="e">
        <f t="shared" ca="1" si="27"/>
        <v>#NUM!</v>
      </c>
      <c r="F140" s="137" t="e">
        <f t="shared" ca="1" si="28"/>
        <v>#NUM!</v>
      </c>
      <c r="G140" s="132" t="e">
        <f t="shared" ca="1" si="29"/>
        <v>#NUM!</v>
      </c>
      <c r="H140" s="132" t="e">
        <f t="shared" ca="1" si="30"/>
        <v>#NUM!</v>
      </c>
      <c r="I140" s="131" t="e">
        <f t="shared" ca="1" si="31"/>
        <v>#NUM!</v>
      </c>
      <c r="J140" s="66"/>
      <c r="K140" s="11"/>
      <c r="L140" s="11"/>
      <c r="M140" s="6" t="e">
        <f t="shared" ca="1" si="32"/>
        <v>#NUM!</v>
      </c>
      <c r="N140" s="40" t="str">
        <f t="shared" si="23"/>
        <v>122기 보수</v>
      </c>
      <c r="O140" s="38" t="e">
        <f t="shared" ca="1" si="33"/>
        <v>#NUM!</v>
      </c>
      <c r="P140" s="38" t="e">
        <f t="shared" ca="1" si="34"/>
        <v>#NAME?</v>
      </c>
      <c r="Q140" s="38" t="e">
        <f t="shared" ca="1" si="35"/>
        <v>#NUM!</v>
      </c>
      <c r="R140" s="38" t="e">
        <f t="shared" ca="1" si="36"/>
        <v>#NUM!</v>
      </c>
      <c r="S140" s="38" t="e">
        <f t="shared" ca="1" si="37"/>
        <v>#NUM!</v>
      </c>
      <c r="T140" s="38" t="e">
        <f t="shared" ca="1" si="38"/>
        <v>#NUM!</v>
      </c>
    </row>
    <row r="141" spans="1:20" ht="20.25" customHeight="1">
      <c r="A141" s="62"/>
      <c r="B141" s="6" t="e">
        <f t="shared" ca="1" si="24"/>
        <v>#NUM!</v>
      </c>
      <c r="C141" s="117" t="e">
        <f t="shared" ca="1" si="25"/>
        <v>#NUM!</v>
      </c>
      <c r="D141" s="131" t="e">
        <f t="shared" ca="1" si="26"/>
        <v>#NUM!</v>
      </c>
      <c r="E141" s="131" t="e">
        <f t="shared" ca="1" si="27"/>
        <v>#NUM!</v>
      </c>
      <c r="F141" s="137" t="e">
        <f t="shared" ca="1" si="28"/>
        <v>#NUM!</v>
      </c>
      <c r="G141" s="132" t="e">
        <f t="shared" ca="1" si="29"/>
        <v>#NUM!</v>
      </c>
      <c r="H141" s="132" t="e">
        <f t="shared" ca="1" si="30"/>
        <v>#NUM!</v>
      </c>
      <c r="I141" s="131" t="e">
        <f t="shared" ca="1" si="31"/>
        <v>#NUM!</v>
      </c>
      <c r="J141" s="66"/>
      <c r="K141" s="11"/>
      <c r="L141" s="11"/>
      <c r="M141" s="6" t="e">
        <f t="shared" ca="1" si="32"/>
        <v>#NUM!</v>
      </c>
      <c r="N141" s="40" t="str">
        <f t="shared" si="23"/>
        <v>123기 보수</v>
      </c>
      <c r="O141" s="38" t="e">
        <f t="shared" ca="1" si="33"/>
        <v>#NUM!</v>
      </c>
      <c r="P141" s="38" t="e">
        <f t="shared" ca="1" si="34"/>
        <v>#NAME?</v>
      </c>
      <c r="Q141" s="38" t="e">
        <f t="shared" ca="1" si="35"/>
        <v>#NUM!</v>
      </c>
      <c r="R141" s="38" t="e">
        <f t="shared" ca="1" si="36"/>
        <v>#NUM!</v>
      </c>
      <c r="S141" s="38" t="e">
        <f t="shared" ca="1" si="37"/>
        <v>#NUM!</v>
      </c>
      <c r="T141" s="38" t="e">
        <f t="shared" ca="1" si="38"/>
        <v>#NUM!</v>
      </c>
    </row>
    <row r="142" spans="1:20" ht="20.25" customHeight="1">
      <c r="A142" s="62"/>
      <c r="B142" s="6" t="e">
        <f t="shared" ca="1" si="24"/>
        <v>#NUM!</v>
      </c>
      <c r="C142" s="117" t="e">
        <f t="shared" ca="1" si="25"/>
        <v>#NUM!</v>
      </c>
      <c r="D142" s="131" t="e">
        <f t="shared" ca="1" si="26"/>
        <v>#NUM!</v>
      </c>
      <c r="E142" s="131" t="e">
        <f t="shared" ca="1" si="27"/>
        <v>#NUM!</v>
      </c>
      <c r="F142" s="137" t="e">
        <f t="shared" ca="1" si="28"/>
        <v>#NUM!</v>
      </c>
      <c r="G142" s="132" t="e">
        <f t="shared" ca="1" si="29"/>
        <v>#NUM!</v>
      </c>
      <c r="H142" s="132" t="e">
        <f t="shared" ca="1" si="30"/>
        <v>#NUM!</v>
      </c>
      <c r="I142" s="131" t="e">
        <f t="shared" ca="1" si="31"/>
        <v>#NUM!</v>
      </c>
      <c r="J142" s="66"/>
      <c r="K142" s="11"/>
      <c r="L142" s="11"/>
      <c r="M142" s="6" t="e">
        <f t="shared" ca="1" si="32"/>
        <v>#NUM!</v>
      </c>
      <c r="N142" s="40" t="str">
        <f t="shared" si="23"/>
        <v>124기 보수</v>
      </c>
      <c r="O142" s="38" t="e">
        <f t="shared" ca="1" si="33"/>
        <v>#NUM!</v>
      </c>
      <c r="P142" s="38" t="e">
        <f t="shared" ca="1" si="34"/>
        <v>#NAME?</v>
      </c>
      <c r="Q142" s="38" t="e">
        <f t="shared" ca="1" si="35"/>
        <v>#NUM!</v>
      </c>
      <c r="R142" s="38" t="e">
        <f t="shared" ca="1" si="36"/>
        <v>#NUM!</v>
      </c>
      <c r="S142" s="38" t="e">
        <f t="shared" ca="1" si="37"/>
        <v>#NUM!</v>
      </c>
      <c r="T142" s="38" t="e">
        <f t="shared" ca="1" si="38"/>
        <v>#NUM!</v>
      </c>
    </row>
    <row r="143" spans="1:20" ht="20.25" customHeight="1">
      <c r="A143" s="62"/>
      <c r="B143" s="6" t="e">
        <f t="shared" ca="1" si="24"/>
        <v>#NUM!</v>
      </c>
      <c r="C143" s="117" t="e">
        <f t="shared" ca="1" si="25"/>
        <v>#NUM!</v>
      </c>
      <c r="D143" s="131" t="e">
        <f t="shared" ca="1" si="26"/>
        <v>#NUM!</v>
      </c>
      <c r="E143" s="131" t="e">
        <f t="shared" ca="1" si="27"/>
        <v>#NUM!</v>
      </c>
      <c r="F143" s="137" t="e">
        <f t="shared" ca="1" si="28"/>
        <v>#NUM!</v>
      </c>
      <c r="G143" s="132" t="e">
        <f t="shared" ca="1" si="29"/>
        <v>#NUM!</v>
      </c>
      <c r="H143" s="132" t="e">
        <f t="shared" ca="1" si="30"/>
        <v>#NUM!</v>
      </c>
      <c r="I143" s="131" t="e">
        <f t="shared" ca="1" si="31"/>
        <v>#NUM!</v>
      </c>
      <c r="J143" s="66"/>
      <c r="K143" s="11"/>
      <c r="L143" s="11"/>
      <c r="M143" s="6" t="e">
        <f t="shared" ca="1" si="32"/>
        <v>#NUM!</v>
      </c>
      <c r="N143" s="40" t="str">
        <f t="shared" si="23"/>
        <v>125기 보수</v>
      </c>
      <c r="O143" s="38" t="e">
        <f t="shared" ca="1" si="33"/>
        <v>#NUM!</v>
      </c>
      <c r="P143" s="38" t="e">
        <f t="shared" ca="1" si="34"/>
        <v>#NAME?</v>
      </c>
      <c r="Q143" s="38" t="e">
        <f t="shared" ca="1" si="35"/>
        <v>#NUM!</v>
      </c>
      <c r="R143" s="38" t="e">
        <f t="shared" ca="1" si="36"/>
        <v>#NUM!</v>
      </c>
      <c r="S143" s="38" t="e">
        <f t="shared" ca="1" si="37"/>
        <v>#NUM!</v>
      </c>
      <c r="T143" s="38" t="e">
        <f t="shared" ca="1" si="38"/>
        <v>#NUM!</v>
      </c>
    </row>
    <row r="144" spans="1:20" ht="20.25" customHeight="1">
      <c r="A144" s="62"/>
      <c r="B144" s="6" t="e">
        <f t="shared" ca="1" si="24"/>
        <v>#NUM!</v>
      </c>
      <c r="C144" s="117" t="e">
        <f t="shared" ca="1" si="25"/>
        <v>#NUM!</v>
      </c>
      <c r="D144" s="131" t="e">
        <f t="shared" ca="1" si="26"/>
        <v>#NUM!</v>
      </c>
      <c r="E144" s="131" t="e">
        <f t="shared" ca="1" si="27"/>
        <v>#NUM!</v>
      </c>
      <c r="F144" s="137" t="e">
        <f t="shared" ca="1" si="28"/>
        <v>#NUM!</v>
      </c>
      <c r="G144" s="132" t="e">
        <f t="shared" ca="1" si="29"/>
        <v>#NUM!</v>
      </c>
      <c r="H144" s="132" t="e">
        <f t="shared" ca="1" si="30"/>
        <v>#NUM!</v>
      </c>
      <c r="I144" s="131" t="e">
        <f t="shared" ca="1" si="31"/>
        <v>#NUM!</v>
      </c>
      <c r="J144" s="66"/>
      <c r="K144" s="11"/>
      <c r="L144" s="11"/>
      <c r="M144" s="6" t="e">
        <f t="shared" ca="1" si="32"/>
        <v>#NUM!</v>
      </c>
      <c r="N144" s="40" t="str">
        <f t="shared" si="23"/>
        <v>126기 보수</v>
      </c>
      <c r="O144" s="38" t="e">
        <f t="shared" ca="1" si="33"/>
        <v>#NUM!</v>
      </c>
      <c r="P144" s="38" t="e">
        <f t="shared" ca="1" si="34"/>
        <v>#NAME?</v>
      </c>
      <c r="Q144" s="38" t="e">
        <f t="shared" ca="1" si="35"/>
        <v>#NUM!</v>
      </c>
      <c r="R144" s="38" t="e">
        <f t="shared" ca="1" si="36"/>
        <v>#NUM!</v>
      </c>
      <c r="S144" s="38" t="e">
        <f t="shared" ca="1" si="37"/>
        <v>#NUM!</v>
      </c>
      <c r="T144" s="38" t="e">
        <f t="shared" ca="1" si="38"/>
        <v>#NUM!</v>
      </c>
    </row>
    <row r="145" spans="1:20" ht="20.25" customHeight="1">
      <c r="A145" s="62"/>
      <c r="B145" s="6" t="e">
        <f t="shared" ca="1" si="24"/>
        <v>#NUM!</v>
      </c>
      <c r="C145" s="117" t="e">
        <f t="shared" ca="1" si="25"/>
        <v>#NUM!</v>
      </c>
      <c r="D145" s="131" t="e">
        <f t="shared" ca="1" si="26"/>
        <v>#NUM!</v>
      </c>
      <c r="E145" s="131" t="e">
        <f t="shared" ca="1" si="27"/>
        <v>#NUM!</v>
      </c>
      <c r="F145" s="137" t="e">
        <f t="shared" ca="1" si="28"/>
        <v>#NUM!</v>
      </c>
      <c r="G145" s="132" t="e">
        <f t="shared" ca="1" si="29"/>
        <v>#NUM!</v>
      </c>
      <c r="H145" s="132" t="e">
        <f t="shared" ca="1" si="30"/>
        <v>#NUM!</v>
      </c>
      <c r="I145" s="131" t="e">
        <f t="shared" ca="1" si="31"/>
        <v>#NUM!</v>
      </c>
      <c r="J145" s="66"/>
      <c r="K145" s="11"/>
      <c r="L145" s="11"/>
      <c r="M145" s="6" t="e">
        <f t="shared" ca="1" si="32"/>
        <v>#NUM!</v>
      </c>
      <c r="N145" s="40" t="str">
        <f t="shared" si="23"/>
        <v>127기 보수</v>
      </c>
      <c r="O145" s="38" t="e">
        <f t="shared" ca="1" si="33"/>
        <v>#NUM!</v>
      </c>
      <c r="P145" s="38" t="e">
        <f t="shared" ca="1" si="34"/>
        <v>#NAME?</v>
      </c>
      <c r="Q145" s="38" t="e">
        <f t="shared" ca="1" si="35"/>
        <v>#NUM!</v>
      </c>
      <c r="R145" s="38" t="e">
        <f t="shared" ca="1" si="36"/>
        <v>#NUM!</v>
      </c>
      <c r="S145" s="38" t="e">
        <f t="shared" ca="1" si="37"/>
        <v>#NUM!</v>
      </c>
      <c r="T145" s="38" t="e">
        <f t="shared" ca="1" si="38"/>
        <v>#NUM!</v>
      </c>
    </row>
    <row r="146" spans="1:20" ht="20.25" customHeight="1">
      <c r="A146" s="62"/>
      <c r="B146" s="6" t="e">
        <f t="shared" ca="1" si="24"/>
        <v>#NUM!</v>
      </c>
      <c r="C146" s="117" t="e">
        <f t="shared" ca="1" si="25"/>
        <v>#NUM!</v>
      </c>
      <c r="D146" s="131" t="e">
        <f t="shared" ca="1" si="26"/>
        <v>#NUM!</v>
      </c>
      <c r="E146" s="131" t="e">
        <f t="shared" ca="1" si="27"/>
        <v>#NUM!</v>
      </c>
      <c r="F146" s="137" t="e">
        <f t="shared" ca="1" si="28"/>
        <v>#NUM!</v>
      </c>
      <c r="G146" s="132" t="e">
        <f t="shared" ca="1" si="29"/>
        <v>#NUM!</v>
      </c>
      <c r="H146" s="132" t="e">
        <f t="shared" ca="1" si="30"/>
        <v>#NUM!</v>
      </c>
      <c r="I146" s="131" t="e">
        <f t="shared" ca="1" si="31"/>
        <v>#NUM!</v>
      </c>
      <c r="J146" s="66"/>
      <c r="K146" s="11"/>
      <c r="L146" s="11"/>
      <c r="M146" s="6" t="e">
        <f t="shared" ca="1" si="32"/>
        <v>#NUM!</v>
      </c>
      <c r="N146" s="40" t="str">
        <f t="shared" si="23"/>
        <v>128기 보수</v>
      </c>
      <c r="O146" s="38" t="e">
        <f t="shared" ca="1" si="33"/>
        <v>#NUM!</v>
      </c>
      <c r="P146" s="38" t="e">
        <f t="shared" ca="1" si="34"/>
        <v>#NAME?</v>
      </c>
      <c r="Q146" s="38" t="e">
        <f t="shared" ca="1" si="35"/>
        <v>#NUM!</v>
      </c>
      <c r="R146" s="38" t="e">
        <f t="shared" ca="1" si="36"/>
        <v>#NUM!</v>
      </c>
      <c r="S146" s="38" t="e">
        <f t="shared" ca="1" si="37"/>
        <v>#NUM!</v>
      </c>
      <c r="T146" s="38" t="e">
        <f t="shared" ca="1" si="38"/>
        <v>#NUM!</v>
      </c>
    </row>
    <row r="147" spans="1:20" ht="20.25" customHeight="1">
      <c r="A147" s="62"/>
      <c r="B147" s="6" t="e">
        <f t="shared" ca="1" si="24"/>
        <v>#NUM!</v>
      </c>
      <c r="C147" s="117" t="e">
        <f t="shared" ca="1" si="25"/>
        <v>#NUM!</v>
      </c>
      <c r="D147" s="131" t="e">
        <f t="shared" ca="1" si="26"/>
        <v>#NUM!</v>
      </c>
      <c r="E147" s="131" t="e">
        <f t="shared" ca="1" si="27"/>
        <v>#NUM!</v>
      </c>
      <c r="F147" s="137" t="e">
        <f t="shared" ca="1" si="28"/>
        <v>#NUM!</v>
      </c>
      <c r="G147" s="132" t="e">
        <f t="shared" ca="1" si="29"/>
        <v>#NUM!</v>
      </c>
      <c r="H147" s="132" t="e">
        <f t="shared" ca="1" si="30"/>
        <v>#NUM!</v>
      </c>
      <c r="I147" s="131" t="e">
        <f t="shared" ca="1" si="31"/>
        <v>#NUM!</v>
      </c>
      <c r="J147" s="66"/>
      <c r="K147" s="11"/>
      <c r="L147" s="11"/>
      <c r="M147" s="6" t="e">
        <f t="shared" ca="1" si="32"/>
        <v>#NUM!</v>
      </c>
      <c r="N147" s="40" t="str">
        <f t="shared" si="23"/>
        <v>129기 보수</v>
      </c>
      <c r="O147" s="38" t="e">
        <f t="shared" ca="1" si="33"/>
        <v>#NUM!</v>
      </c>
      <c r="P147" s="38" t="e">
        <f t="shared" ca="1" si="34"/>
        <v>#NAME?</v>
      </c>
      <c r="Q147" s="38" t="e">
        <f t="shared" ca="1" si="35"/>
        <v>#NUM!</v>
      </c>
      <c r="R147" s="38" t="e">
        <f t="shared" ca="1" si="36"/>
        <v>#NUM!</v>
      </c>
      <c r="S147" s="38" t="e">
        <f t="shared" ca="1" si="37"/>
        <v>#NUM!</v>
      </c>
      <c r="T147" s="38" t="e">
        <f t="shared" ca="1" si="38"/>
        <v>#NUM!</v>
      </c>
    </row>
    <row r="148" spans="1:20" ht="20.25" customHeight="1">
      <c r="A148" s="62"/>
      <c r="B148" s="6" t="e">
        <f t="shared" ca="1" si="24"/>
        <v>#NUM!</v>
      </c>
      <c r="C148" s="117" t="e">
        <f t="shared" ca="1" si="25"/>
        <v>#NUM!</v>
      </c>
      <c r="D148" s="131" t="e">
        <f t="shared" ca="1" si="26"/>
        <v>#NUM!</v>
      </c>
      <c r="E148" s="131" t="e">
        <f t="shared" ca="1" si="27"/>
        <v>#NUM!</v>
      </c>
      <c r="F148" s="137" t="e">
        <f t="shared" ca="1" si="28"/>
        <v>#NUM!</v>
      </c>
      <c r="G148" s="132" t="e">
        <f t="shared" ca="1" si="29"/>
        <v>#NUM!</v>
      </c>
      <c r="H148" s="132" t="e">
        <f t="shared" ca="1" si="30"/>
        <v>#NUM!</v>
      </c>
      <c r="I148" s="131" t="e">
        <f t="shared" ca="1" si="31"/>
        <v>#NUM!</v>
      </c>
      <c r="J148" s="66"/>
      <c r="K148" s="11"/>
      <c r="L148" s="11"/>
      <c r="M148" s="6" t="e">
        <f t="shared" ca="1" si="32"/>
        <v>#NUM!</v>
      </c>
      <c r="N148" s="40" t="str">
        <f t="shared" ref="N148:N211" si="39">ROW()-18&amp;"기 보수"</f>
        <v>130기 보수</v>
      </c>
      <c r="O148" s="38" t="e">
        <f t="shared" ca="1" si="33"/>
        <v>#NUM!</v>
      </c>
      <c r="P148" s="38" t="e">
        <f t="shared" ca="1" si="34"/>
        <v>#NAME?</v>
      </c>
      <c r="Q148" s="38" t="e">
        <f t="shared" ca="1" si="35"/>
        <v>#NUM!</v>
      </c>
      <c r="R148" s="38" t="e">
        <f t="shared" ca="1" si="36"/>
        <v>#NUM!</v>
      </c>
      <c r="S148" s="38" t="e">
        <f t="shared" ca="1" si="37"/>
        <v>#NUM!</v>
      </c>
      <c r="T148" s="38" t="e">
        <f t="shared" ca="1" si="38"/>
        <v>#NUM!</v>
      </c>
    </row>
    <row r="149" spans="1:20" ht="20.25" customHeight="1">
      <c r="A149" s="62"/>
      <c r="B149" s="6" t="e">
        <f t="shared" ref="B149:B212" ca="1" si="40">IF(B148&lt;$C$8,COUPNCD(B148,$C$8,IF($C$10=O$9,1,IF($C$10=O$8,2,4))),"")</f>
        <v>#NUM!</v>
      </c>
      <c r="C149" s="117" t="e">
        <f t="shared" ref="C149:C212" ca="1" si="41">IF(B149=$C$8,$E$9,"")</f>
        <v>#NUM!</v>
      </c>
      <c r="D149" s="131" t="e">
        <f t="shared" ref="D149:D212" ca="1" si="42">IF(B149="","",IF($C$13="krw",(TRUNC(($C$9*$E$9)/(IF($C$10=$O$9,1,IF($C$10=$O$8,2,4))),2)*$C$14),(TRUNC(($C$9*$E$9)/(IF($C$10=$O$9,1,IF($C$10=$O$8,2,4))),2))))</f>
        <v>#NUM!</v>
      </c>
      <c r="E149" s="131" t="e">
        <f t="shared" ref="E149:E212" ca="1" si="43">IF(B149="","",D149)</f>
        <v>#NUM!</v>
      </c>
      <c r="F149" s="137" t="e">
        <f t="shared" ref="F149:F212" ca="1" si="44">IF(B149="","",IF(E149&gt;R149,E149-R149,0))</f>
        <v>#NUM!</v>
      </c>
      <c r="G149" s="132" t="e">
        <f t="shared" ref="G149:G212" ca="1" si="45">IF(B149="","",IF($C$16="비과세(0%)",0,IF($C$16="표준(소득세14%+지방세)",ROUNDDOWN(F149*14%,2),ROUNDDOWN(F149*0%,-1))))</f>
        <v>#NUM!</v>
      </c>
      <c r="H149" s="132" t="e">
        <f t="shared" ref="H149:H212" ca="1" si="46">IF(B149="","",IF($C$16="비과세(0%)",0,IF($C$16="표준(소득세14%+지방세)",ROUNDDOWN(G149*10%,2),IF($E$4="개인",F149*1.4%,F149*2.8%))))</f>
        <v>#NUM!</v>
      </c>
      <c r="I149" s="131" t="e">
        <f t="shared" ref="I149:I212" ca="1" si="47">IF(B149="","",D149-P149-G149-H149)</f>
        <v>#NUM!</v>
      </c>
      <c r="J149" s="66"/>
      <c r="K149" s="11"/>
      <c r="L149" s="11"/>
      <c r="M149" s="6" t="e">
        <f t="shared" ref="M149:M212" ca="1" si="48">IF(B148&lt;$C$8,COUPNCD(M148,$C$8,IF($C$10=$O$9,1,IF($C$10=$O$8,2,4))),"")</f>
        <v>#NUM!</v>
      </c>
      <c r="N149" s="40" t="str">
        <f t="shared" si="39"/>
        <v>131기 보수</v>
      </c>
      <c r="O149" s="38" t="e">
        <f t="shared" ref="O149:O212" ca="1" si="49">S148</f>
        <v>#NUM!</v>
      </c>
      <c r="P149" s="38" t="e">
        <f t="shared" ref="P149:P212" ca="1" si="50">$I$7*$G$8/365*(_xlfn.DAYS(B149,M149))</f>
        <v>#NAME?</v>
      </c>
      <c r="Q149" s="38" t="e">
        <f t="shared" ref="Q149:Q212" ca="1" si="51">+T148+P149</f>
        <v>#NUM!</v>
      </c>
      <c r="R149" s="38" t="e">
        <f t="shared" ref="R149:R212" ca="1" si="52">+O149+Q149</f>
        <v>#NUM!</v>
      </c>
      <c r="S149" s="38" t="e">
        <f t="shared" ref="S149:S212" ca="1" si="53">IF(E149&lt;O149,O149-E149,0)</f>
        <v>#NUM!</v>
      </c>
      <c r="T149" s="38" t="e">
        <f t="shared" ref="T149:T212" ca="1" si="54">IF(S149&gt;0,Q149,IF(E149&gt;R149,0,Q149-(E149-O149)))</f>
        <v>#NUM!</v>
      </c>
    </row>
    <row r="150" spans="1:20" ht="20.25" customHeight="1">
      <c r="A150" s="62"/>
      <c r="B150" s="6" t="e">
        <f t="shared" ca="1" si="40"/>
        <v>#NUM!</v>
      </c>
      <c r="C150" s="117" t="e">
        <f t="shared" ca="1" si="41"/>
        <v>#NUM!</v>
      </c>
      <c r="D150" s="131" t="e">
        <f t="shared" ca="1" si="42"/>
        <v>#NUM!</v>
      </c>
      <c r="E150" s="131" t="e">
        <f t="shared" ca="1" si="43"/>
        <v>#NUM!</v>
      </c>
      <c r="F150" s="137" t="e">
        <f t="shared" ca="1" si="44"/>
        <v>#NUM!</v>
      </c>
      <c r="G150" s="132" t="e">
        <f t="shared" ca="1" si="45"/>
        <v>#NUM!</v>
      </c>
      <c r="H150" s="132" t="e">
        <f t="shared" ca="1" si="46"/>
        <v>#NUM!</v>
      </c>
      <c r="I150" s="131" t="e">
        <f t="shared" ca="1" si="47"/>
        <v>#NUM!</v>
      </c>
      <c r="J150" s="66"/>
      <c r="K150" s="11"/>
      <c r="L150" s="11"/>
      <c r="M150" s="6" t="e">
        <f t="shared" ca="1" si="48"/>
        <v>#NUM!</v>
      </c>
      <c r="N150" s="40" t="str">
        <f t="shared" si="39"/>
        <v>132기 보수</v>
      </c>
      <c r="O150" s="38" t="e">
        <f t="shared" ca="1" si="49"/>
        <v>#NUM!</v>
      </c>
      <c r="P150" s="38" t="e">
        <f t="shared" ca="1" si="50"/>
        <v>#NAME?</v>
      </c>
      <c r="Q150" s="38" t="e">
        <f t="shared" ca="1" si="51"/>
        <v>#NUM!</v>
      </c>
      <c r="R150" s="38" t="e">
        <f t="shared" ca="1" si="52"/>
        <v>#NUM!</v>
      </c>
      <c r="S150" s="38" t="e">
        <f t="shared" ca="1" si="53"/>
        <v>#NUM!</v>
      </c>
      <c r="T150" s="38" t="e">
        <f t="shared" ca="1" si="54"/>
        <v>#NUM!</v>
      </c>
    </row>
    <row r="151" spans="1:20" ht="20.25" customHeight="1">
      <c r="A151" s="62"/>
      <c r="B151" s="6" t="e">
        <f t="shared" ca="1" si="40"/>
        <v>#NUM!</v>
      </c>
      <c r="C151" s="117" t="e">
        <f t="shared" ca="1" si="41"/>
        <v>#NUM!</v>
      </c>
      <c r="D151" s="131" t="e">
        <f t="shared" ca="1" si="42"/>
        <v>#NUM!</v>
      </c>
      <c r="E151" s="131" t="e">
        <f t="shared" ca="1" si="43"/>
        <v>#NUM!</v>
      </c>
      <c r="F151" s="137" t="e">
        <f t="shared" ca="1" si="44"/>
        <v>#NUM!</v>
      </c>
      <c r="G151" s="132" t="e">
        <f t="shared" ca="1" si="45"/>
        <v>#NUM!</v>
      </c>
      <c r="H151" s="132" t="e">
        <f t="shared" ca="1" si="46"/>
        <v>#NUM!</v>
      </c>
      <c r="I151" s="131" t="e">
        <f t="shared" ca="1" si="47"/>
        <v>#NUM!</v>
      </c>
      <c r="J151" s="66"/>
      <c r="K151" s="11"/>
      <c r="L151" s="11"/>
      <c r="M151" s="6" t="e">
        <f t="shared" ca="1" si="48"/>
        <v>#NUM!</v>
      </c>
      <c r="N151" s="40" t="str">
        <f t="shared" si="39"/>
        <v>133기 보수</v>
      </c>
      <c r="O151" s="38" t="e">
        <f t="shared" ca="1" si="49"/>
        <v>#NUM!</v>
      </c>
      <c r="P151" s="38" t="e">
        <f t="shared" ca="1" si="50"/>
        <v>#NAME?</v>
      </c>
      <c r="Q151" s="38" t="e">
        <f t="shared" ca="1" si="51"/>
        <v>#NUM!</v>
      </c>
      <c r="R151" s="38" t="e">
        <f t="shared" ca="1" si="52"/>
        <v>#NUM!</v>
      </c>
      <c r="S151" s="38" t="e">
        <f t="shared" ca="1" si="53"/>
        <v>#NUM!</v>
      </c>
      <c r="T151" s="38" t="e">
        <f t="shared" ca="1" si="54"/>
        <v>#NUM!</v>
      </c>
    </row>
    <row r="152" spans="1:20" ht="20.25" customHeight="1">
      <c r="A152" s="62"/>
      <c r="B152" s="6" t="e">
        <f t="shared" ca="1" si="40"/>
        <v>#NUM!</v>
      </c>
      <c r="C152" s="117" t="e">
        <f t="shared" ca="1" si="41"/>
        <v>#NUM!</v>
      </c>
      <c r="D152" s="131" t="e">
        <f t="shared" ca="1" si="42"/>
        <v>#NUM!</v>
      </c>
      <c r="E152" s="131" t="e">
        <f t="shared" ca="1" si="43"/>
        <v>#NUM!</v>
      </c>
      <c r="F152" s="137" t="e">
        <f t="shared" ca="1" si="44"/>
        <v>#NUM!</v>
      </c>
      <c r="G152" s="132" t="e">
        <f t="shared" ca="1" si="45"/>
        <v>#NUM!</v>
      </c>
      <c r="H152" s="132" t="e">
        <f t="shared" ca="1" si="46"/>
        <v>#NUM!</v>
      </c>
      <c r="I152" s="131" t="e">
        <f t="shared" ca="1" si="47"/>
        <v>#NUM!</v>
      </c>
      <c r="J152" s="66"/>
      <c r="K152" s="11"/>
      <c r="L152" s="11"/>
      <c r="M152" s="6" t="e">
        <f t="shared" ca="1" si="48"/>
        <v>#NUM!</v>
      </c>
      <c r="N152" s="40" t="str">
        <f t="shared" si="39"/>
        <v>134기 보수</v>
      </c>
      <c r="O152" s="38" t="e">
        <f t="shared" ca="1" si="49"/>
        <v>#NUM!</v>
      </c>
      <c r="P152" s="38" t="e">
        <f t="shared" ca="1" si="50"/>
        <v>#NAME?</v>
      </c>
      <c r="Q152" s="38" t="e">
        <f t="shared" ca="1" si="51"/>
        <v>#NUM!</v>
      </c>
      <c r="R152" s="38" t="e">
        <f t="shared" ca="1" si="52"/>
        <v>#NUM!</v>
      </c>
      <c r="S152" s="38" t="e">
        <f t="shared" ca="1" si="53"/>
        <v>#NUM!</v>
      </c>
      <c r="T152" s="38" t="e">
        <f t="shared" ca="1" si="54"/>
        <v>#NUM!</v>
      </c>
    </row>
    <row r="153" spans="1:20" ht="20.25" customHeight="1">
      <c r="A153" s="62"/>
      <c r="B153" s="6" t="e">
        <f t="shared" ca="1" si="40"/>
        <v>#NUM!</v>
      </c>
      <c r="C153" s="117" t="e">
        <f t="shared" ca="1" si="41"/>
        <v>#NUM!</v>
      </c>
      <c r="D153" s="131" t="e">
        <f t="shared" ca="1" si="42"/>
        <v>#NUM!</v>
      </c>
      <c r="E153" s="131" t="e">
        <f t="shared" ca="1" si="43"/>
        <v>#NUM!</v>
      </c>
      <c r="F153" s="137" t="e">
        <f t="shared" ca="1" si="44"/>
        <v>#NUM!</v>
      </c>
      <c r="G153" s="132" t="e">
        <f t="shared" ca="1" si="45"/>
        <v>#NUM!</v>
      </c>
      <c r="H153" s="132" t="e">
        <f t="shared" ca="1" si="46"/>
        <v>#NUM!</v>
      </c>
      <c r="I153" s="131" t="e">
        <f t="shared" ca="1" si="47"/>
        <v>#NUM!</v>
      </c>
      <c r="J153" s="66"/>
      <c r="K153" s="11"/>
      <c r="L153" s="11"/>
      <c r="M153" s="6" t="e">
        <f t="shared" ca="1" si="48"/>
        <v>#NUM!</v>
      </c>
      <c r="N153" s="40" t="str">
        <f t="shared" si="39"/>
        <v>135기 보수</v>
      </c>
      <c r="O153" s="38" t="e">
        <f t="shared" ca="1" si="49"/>
        <v>#NUM!</v>
      </c>
      <c r="P153" s="38" t="e">
        <f t="shared" ca="1" si="50"/>
        <v>#NAME?</v>
      </c>
      <c r="Q153" s="38" t="e">
        <f t="shared" ca="1" si="51"/>
        <v>#NUM!</v>
      </c>
      <c r="R153" s="38" t="e">
        <f t="shared" ca="1" si="52"/>
        <v>#NUM!</v>
      </c>
      <c r="S153" s="38" t="e">
        <f t="shared" ca="1" si="53"/>
        <v>#NUM!</v>
      </c>
      <c r="T153" s="38" t="e">
        <f t="shared" ca="1" si="54"/>
        <v>#NUM!</v>
      </c>
    </row>
    <row r="154" spans="1:20" ht="20.25" customHeight="1">
      <c r="A154" s="62"/>
      <c r="B154" s="6" t="e">
        <f t="shared" ca="1" si="40"/>
        <v>#NUM!</v>
      </c>
      <c r="C154" s="117" t="e">
        <f t="shared" ca="1" si="41"/>
        <v>#NUM!</v>
      </c>
      <c r="D154" s="131" t="e">
        <f t="shared" ca="1" si="42"/>
        <v>#NUM!</v>
      </c>
      <c r="E154" s="131" t="e">
        <f t="shared" ca="1" si="43"/>
        <v>#NUM!</v>
      </c>
      <c r="F154" s="137" t="e">
        <f t="shared" ca="1" si="44"/>
        <v>#NUM!</v>
      </c>
      <c r="G154" s="132" t="e">
        <f t="shared" ca="1" si="45"/>
        <v>#NUM!</v>
      </c>
      <c r="H154" s="132" t="e">
        <f t="shared" ca="1" si="46"/>
        <v>#NUM!</v>
      </c>
      <c r="I154" s="131" t="e">
        <f t="shared" ca="1" si="47"/>
        <v>#NUM!</v>
      </c>
      <c r="J154" s="66"/>
      <c r="K154" s="11"/>
      <c r="L154" s="11"/>
      <c r="M154" s="6" t="e">
        <f t="shared" ca="1" si="48"/>
        <v>#NUM!</v>
      </c>
      <c r="N154" s="40" t="str">
        <f t="shared" si="39"/>
        <v>136기 보수</v>
      </c>
      <c r="O154" s="38" t="e">
        <f t="shared" ca="1" si="49"/>
        <v>#NUM!</v>
      </c>
      <c r="P154" s="38" t="e">
        <f t="shared" ca="1" si="50"/>
        <v>#NAME?</v>
      </c>
      <c r="Q154" s="38" t="e">
        <f t="shared" ca="1" si="51"/>
        <v>#NUM!</v>
      </c>
      <c r="R154" s="38" t="e">
        <f t="shared" ca="1" si="52"/>
        <v>#NUM!</v>
      </c>
      <c r="S154" s="38" t="e">
        <f t="shared" ca="1" si="53"/>
        <v>#NUM!</v>
      </c>
      <c r="T154" s="38" t="e">
        <f t="shared" ca="1" si="54"/>
        <v>#NUM!</v>
      </c>
    </row>
    <row r="155" spans="1:20" ht="20.25" customHeight="1">
      <c r="A155" s="62"/>
      <c r="B155" s="6" t="e">
        <f t="shared" ca="1" si="40"/>
        <v>#NUM!</v>
      </c>
      <c r="C155" s="117" t="e">
        <f t="shared" ca="1" si="41"/>
        <v>#NUM!</v>
      </c>
      <c r="D155" s="131" t="e">
        <f t="shared" ca="1" si="42"/>
        <v>#NUM!</v>
      </c>
      <c r="E155" s="131" t="e">
        <f t="shared" ca="1" si="43"/>
        <v>#NUM!</v>
      </c>
      <c r="F155" s="137" t="e">
        <f t="shared" ca="1" si="44"/>
        <v>#NUM!</v>
      </c>
      <c r="G155" s="132" t="e">
        <f t="shared" ca="1" si="45"/>
        <v>#NUM!</v>
      </c>
      <c r="H155" s="132" t="e">
        <f t="shared" ca="1" si="46"/>
        <v>#NUM!</v>
      </c>
      <c r="I155" s="131" t="e">
        <f t="shared" ca="1" si="47"/>
        <v>#NUM!</v>
      </c>
      <c r="J155" s="66"/>
      <c r="K155" s="11"/>
      <c r="L155" s="11"/>
      <c r="M155" s="6" t="e">
        <f t="shared" ca="1" si="48"/>
        <v>#NUM!</v>
      </c>
      <c r="N155" s="40" t="str">
        <f t="shared" si="39"/>
        <v>137기 보수</v>
      </c>
      <c r="O155" s="38" t="e">
        <f t="shared" ca="1" si="49"/>
        <v>#NUM!</v>
      </c>
      <c r="P155" s="38" t="e">
        <f t="shared" ca="1" si="50"/>
        <v>#NAME?</v>
      </c>
      <c r="Q155" s="38" t="e">
        <f t="shared" ca="1" si="51"/>
        <v>#NUM!</v>
      </c>
      <c r="R155" s="38" t="e">
        <f t="shared" ca="1" si="52"/>
        <v>#NUM!</v>
      </c>
      <c r="S155" s="38" t="e">
        <f t="shared" ca="1" si="53"/>
        <v>#NUM!</v>
      </c>
      <c r="T155" s="38" t="e">
        <f t="shared" ca="1" si="54"/>
        <v>#NUM!</v>
      </c>
    </row>
    <row r="156" spans="1:20" ht="20.25" customHeight="1">
      <c r="A156" s="62"/>
      <c r="B156" s="6" t="e">
        <f t="shared" ca="1" si="40"/>
        <v>#NUM!</v>
      </c>
      <c r="C156" s="117" t="e">
        <f t="shared" ca="1" si="41"/>
        <v>#NUM!</v>
      </c>
      <c r="D156" s="131" t="e">
        <f t="shared" ca="1" si="42"/>
        <v>#NUM!</v>
      </c>
      <c r="E156" s="131" t="e">
        <f t="shared" ca="1" si="43"/>
        <v>#NUM!</v>
      </c>
      <c r="F156" s="137" t="e">
        <f t="shared" ca="1" si="44"/>
        <v>#NUM!</v>
      </c>
      <c r="G156" s="132" t="e">
        <f t="shared" ca="1" si="45"/>
        <v>#NUM!</v>
      </c>
      <c r="H156" s="132" t="e">
        <f t="shared" ca="1" si="46"/>
        <v>#NUM!</v>
      </c>
      <c r="I156" s="131" t="e">
        <f t="shared" ca="1" si="47"/>
        <v>#NUM!</v>
      </c>
      <c r="J156" s="66"/>
      <c r="K156" s="11"/>
      <c r="L156" s="11"/>
      <c r="M156" s="6" t="e">
        <f t="shared" ca="1" si="48"/>
        <v>#NUM!</v>
      </c>
      <c r="N156" s="40" t="str">
        <f t="shared" si="39"/>
        <v>138기 보수</v>
      </c>
      <c r="O156" s="38" t="e">
        <f t="shared" ca="1" si="49"/>
        <v>#NUM!</v>
      </c>
      <c r="P156" s="38" t="e">
        <f t="shared" ca="1" si="50"/>
        <v>#NAME?</v>
      </c>
      <c r="Q156" s="38" t="e">
        <f t="shared" ca="1" si="51"/>
        <v>#NUM!</v>
      </c>
      <c r="R156" s="38" t="e">
        <f t="shared" ca="1" si="52"/>
        <v>#NUM!</v>
      </c>
      <c r="S156" s="38" t="e">
        <f t="shared" ca="1" si="53"/>
        <v>#NUM!</v>
      </c>
      <c r="T156" s="38" t="e">
        <f t="shared" ca="1" si="54"/>
        <v>#NUM!</v>
      </c>
    </row>
    <row r="157" spans="1:20" ht="20.25" customHeight="1">
      <c r="A157" s="62"/>
      <c r="B157" s="6" t="e">
        <f t="shared" ca="1" si="40"/>
        <v>#NUM!</v>
      </c>
      <c r="C157" s="117" t="e">
        <f t="shared" ca="1" si="41"/>
        <v>#NUM!</v>
      </c>
      <c r="D157" s="131" t="e">
        <f t="shared" ca="1" si="42"/>
        <v>#NUM!</v>
      </c>
      <c r="E157" s="131" t="e">
        <f t="shared" ca="1" si="43"/>
        <v>#NUM!</v>
      </c>
      <c r="F157" s="137" t="e">
        <f t="shared" ca="1" si="44"/>
        <v>#NUM!</v>
      </c>
      <c r="G157" s="132" t="e">
        <f t="shared" ca="1" si="45"/>
        <v>#NUM!</v>
      </c>
      <c r="H157" s="132" t="e">
        <f t="shared" ca="1" si="46"/>
        <v>#NUM!</v>
      </c>
      <c r="I157" s="131" t="e">
        <f t="shared" ca="1" si="47"/>
        <v>#NUM!</v>
      </c>
      <c r="J157" s="66"/>
      <c r="K157" s="11"/>
      <c r="L157" s="11"/>
      <c r="M157" s="6" t="e">
        <f t="shared" ca="1" si="48"/>
        <v>#NUM!</v>
      </c>
      <c r="N157" s="40" t="str">
        <f t="shared" si="39"/>
        <v>139기 보수</v>
      </c>
      <c r="O157" s="38" t="e">
        <f t="shared" ca="1" si="49"/>
        <v>#NUM!</v>
      </c>
      <c r="P157" s="38" t="e">
        <f t="shared" ca="1" si="50"/>
        <v>#NAME?</v>
      </c>
      <c r="Q157" s="38" t="e">
        <f t="shared" ca="1" si="51"/>
        <v>#NUM!</v>
      </c>
      <c r="R157" s="38" t="e">
        <f t="shared" ca="1" si="52"/>
        <v>#NUM!</v>
      </c>
      <c r="S157" s="38" t="e">
        <f t="shared" ca="1" si="53"/>
        <v>#NUM!</v>
      </c>
      <c r="T157" s="38" t="e">
        <f t="shared" ca="1" si="54"/>
        <v>#NUM!</v>
      </c>
    </row>
    <row r="158" spans="1:20" ht="20.25" customHeight="1">
      <c r="A158" s="62"/>
      <c r="B158" s="6" t="e">
        <f t="shared" ca="1" si="40"/>
        <v>#NUM!</v>
      </c>
      <c r="C158" s="117" t="e">
        <f t="shared" ca="1" si="41"/>
        <v>#NUM!</v>
      </c>
      <c r="D158" s="131" t="e">
        <f t="shared" ca="1" si="42"/>
        <v>#NUM!</v>
      </c>
      <c r="E158" s="131" t="e">
        <f t="shared" ca="1" si="43"/>
        <v>#NUM!</v>
      </c>
      <c r="F158" s="137" t="e">
        <f t="shared" ca="1" si="44"/>
        <v>#NUM!</v>
      </c>
      <c r="G158" s="132" t="e">
        <f t="shared" ca="1" si="45"/>
        <v>#NUM!</v>
      </c>
      <c r="H158" s="132" t="e">
        <f t="shared" ca="1" si="46"/>
        <v>#NUM!</v>
      </c>
      <c r="I158" s="131" t="e">
        <f t="shared" ca="1" si="47"/>
        <v>#NUM!</v>
      </c>
      <c r="J158" s="66"/>
      <c r="K158" s="11"/>
      <c r="L158" s="11"/>
      <c r="M158" s="6" t="e">
        <f t="shared" ca="1" si="48"/>
        <v>#NUM!</v>
      </c>
      <c r="N158" s="40" t="str">
        <f t="shared" si="39"/>
        <v>140기 보수</v>
      </c>
      <c r="O158" s="38" t="e">
        <f t="shared" ca="1" si="49"/>
        <v>#NUM!</v>
      </c>
      <c r="P158" s="38" t="e">
        <f t="shared" ca="1" si="50"/>
        <v>#NAME?</v>
      </c>
      <c r="Q158" s="38" t="e">
        <f t="shared" ca="1" si="51"/>
        <v>#NUM!</v>
      </c>
      <c r="R158" s="38" t="e">
        <f t="shared" ca="1" si="52"/>
        <v>#NUM!</v>
      </c>
      <c r="S158" s="38" t="e">
        <f t="shared" ca="1" si="53"/>
        <v>#NUM!</v>
      </c>
      <c r="T158" s="38" t="e">
        <f t="shared" ca="1" si="54"/>
        <v>#NUM!</v>
      </c>
    </row>
    <row r="159" spans="1:20" ht="20.25" customHeight="1">
      <c r="A159" s="62"/>
      <c r="B159" s="6" t="e">
        <f t="shared" ca="1" si="40"/>
        <v>#NUM!</v>
      </c>
      <c r="C159" s="117" t="e">
        <f t="shared" ca="1" si="41"/>
        <v>#NUM!</v>
      </c>
      <c r="D159" s="131" t="e">
        <f t="shared" ca="1" si="42"/>
        <v>#NUM!</v>
      </c>
      <c r="E159" s="131" t="e">
        <f t="shared" ca="1" si="43"/>
        <v>#NUM!</v>
      </c>
      <c r="F159" s="137" t="e">
        <f t="shared" ca="1" si="44"/>
        <v>#NUM!</v>
      </c>
      <c r="G159" s="132" t="e">
        <f t="shared" ca="1" si="45"/>
        <v>#NUM!</v>
      </c>
      <c r="H159" s="132" t="e">
        <f t="shared" ca="1" si="46"/>
        <v>#NUM!</v>
      </c>
      <c r="I159" s="131" t="e">
        <f t="shared" ca="1" si="47"/>
        <v>#NUM!</v>
      </c>
      <c r="J159" s="66"/>
      <c r="K159" s="11"/>
      <c r="L159" s="11"/>
      <c r="M159" s="6" t="e">
        <f t="shared" ca="1" si="48"/>
        <v>#NUM!</v>
      </c>
      <c r="N159" s="40" t="str">
        <f t="shared" si="39"/>
        <v>141기 보수</v>
      </c>
      <c r="O159" s="38" t="e">
        <f t="shared" ca="1" si="49"/>
        <v>#NUM!</v>
      </c>
      <c r="P159" s="38" t="e">
        <f t="shared" ca="1" si="50"/>
        <v>#NAME?</v>
      </c>
      <c r="Q159" s="38" t="e">
        <f t="shared" ca="1" si="51"/>
        <v>#NUM!</v>
      </c>
      <c r="R159" s="38" t="e">
        <f t="shared" ca="1" si="52"/>
        <v>#NUM!</v>
      </c>
      <c r="S159" s="38" t="e">
        <f t="shared" ca="1" si="53"/>
        <v>#NUM!</v>
      </c>
      <c r="T159" s="38" t="e">
        <f t="shared" ca="1" si="54"/>
        <v>#NUM!</v>
      </c>
    </row>
    <row r="160" spans="1:20" ht="20.25" customHeight="1">
      <c r="A160" s="62"/>
      <c r="B160" s="6" t="e">
        <f t="shared" ca="1" si="40"/>
        <v>#NUM!</v>
      </c>
      <c r="C160" s="117" t="e">
        <f t="shared" ca="1" si="41"/>
        <v>#NUM!</v>
      </c>
      <c r="D160" s="131" t="e">
        <f t="shared" ca="1" si="42"/>
        <v>#NUM!</v>
      </c>
      <c r="E160" s="131" t="e">
        <f t="shared" ca="1" si="43"/>
        <v>#NUM!</v>
      </c>
      <c r="F160" s="137" t="e">
        <f t="shared" ca="1" si="44"/>
        <v>#NUM!</v>
      </c>
      <c r="G160" s="132" t="e">
        <f t="shared" ca="1" si="45"/>
        <v>#NUM!</v>
      </c>
      <c r="H160" s="132" t="e">
        <f t="shared" ca="1" si="46"/>
        <v>#NUM!</v>
      </c>
      <c r="I160" s="131" t="e">
        <f t="shared" ca="1" si="47"/>
        <v>#NUM!</v>
      </c>
      <c r="J160" s="66"/>
      <c r="K160" s="11"/>
      <c r="L160" s="11"/>
      <c r="M160" s="6" t="e">
        <f t="shared" ca="1" si="48"/>
        <v>#NUM!</v>
      </c>
      <c r="N160" s="40" t="str">
        <f t="shared" si="39"/>
        <v>142기 보수</v>
      </c>
      <c r="O160" s="38" t="e">
        <f t="shared" ca="1" si="49"/>
        <v>#NUM!</v>
      </c>
      <c r="P160" s="38" t="e">
        <f t="shared" ca="1" si="50"/>
        <v>#NAME?</v>
      </c>
      <c r="Q160" s="38" t="e">
        <f t="shared" ca="1" si="51"/>
        <v>#NUM!</v>
      </c>
      <c r="R160" s="38" t="e">
        <f t="shared" ca="1" si="52"/>
        <v>#NUM!</v>
      </c>
      <c r="S160" s="38" t="e">
        <f t="shared" ca="1" si="53"/>
        <v>#NUM!</v>
      </c>
      <c r="T160" s="38" t="e">
        <f t="shared" ca="1" si="54"/>
        <v>#NUM!</v>
      </c>
    </row>
    <row r="161" spans="1:20" ht="20.25" customHeight="1">
      <c r="A161" s="62"/>
      <c r="B161" s="6" t="e">
        <f t="shared" ca="1" si="40"/>
        <v>#NUM!</v>
      </c>
      <c r="C161" s="117" t="e">
        <f t="shared" ca="1" si="41"/>
        <v>#NUM!</v>
      </c>
      <c r="D161" s="131" t="e">
        <f t="shared" ca="1" si="42"/>
        <v>#NUM!</v>
      </c>
      <c r="E161" s="131" t="e">
        <f t="shared" ca="1" si="43"/>
        <v>#NUM!</v>
      </c>
      <c r="F161" s="137" t="e">
        <f t="shared" ca="1" si="44"/>
        <v>#NUM!</v>
      </c>
      <c r="G161" s="132" t="e">
        <f t="shared" ca="1" si="45"/>
        <v>#NUM!</v>
      </c>
      <c r="H161" s="132" t="e">
        <f t="shared" ca="1" si="46"/>
        <v>#NUM!</v>
      </c>
      <c r="I161" s="131" t="e">
        <f t="shared" ca="1" si="47"/>
        <v>#NUM!</v>
      </c>
      <c r="J161" s="66"/>
      <c r="K161" s="11"/>
      <c r="L161" s="11"/>
      <c r="M161" s="6" t="e">
        <f t="shared" ca="1" si="48"/>
        <v>#NUM!</v>
      </c>
      <c r="N161" s="40" t="str">
        <f t="shared" si="39"/>
        <v>143기 보수</v>
      </c>
      <c r="O161" s="38" t="e">
        <f t="shared" ca="1" si="49"/>
        <v>#NUM!</v>
      </c>
      <c r="P161" s="38" t="e">
        <f t="shared" ca="1" si="50"/>
        <v>#NAME?</v>
      </c>
      <c r="Q161" s="38" t="e">
        <f t="shared" ca="1" si="51"/>
        <v>#NUM!</v>
      </c>
      <c r="R161" s="38" t="e">
        <f t="shared" ca="1" si="52"/>
        <v>#NUM!</v>
      </c>
      <c r="S161" s="38" t="e">
        <f t="shared" ca="1" si="53"/>
        <v>#NUM!</v>
      </c>
      <c r="T161" s="38" t="e">
        <f t="shared" ca="1" si="54"/>
        <v>#NUM!</v>
      </c>
    </row>
    <row r="162" spans="1:20" ht="20.25" customHeight="1">
      <c r="A162" s="62"/>
      <c r="B162" s="6" t="e">
        <f t="shared" ca="1" si="40"/>
        <v>#NUM!</v>
      </c>
      <c r="C162" s="117" t="e">
        <f t="shared" ca="1" si="41"/>
        <v>#NUM!</v>
      </c>
      <c r="D162" s="131" t="e">
        <f t="shared" ca="1" si="42"/>
        <v>#NUM!</v>
      </c>
      <c r="E162" s="131" t="e">
        <f t="shared" ca="1" si="43"/>
        <v>#NUM!</v>
      </c>
      <c r="F162" s="137" t="e">
        <f t="shared" ca="1" si="44"/>
        <v>#NUM!</v>
      </c>
      <c r="G162" s="132" t="e">
        <f t="shared" ca="1" si="45"/>
        <v>#NUM!</v>
      </c>
      <c r="H162" s="132" t="e">
        <f t="shared" ca="1" si="46"/>
        <v>#NUM!</v>
      </c>
      <c r="I162" s="131" t="e">
        <f t="shared" ca="1" si="47"/>
        <v>#NUM!</v>
      </c>
      <c r="J162" s="66"/>
      <c r="K162" s="11"/>
      <c r="L162" s="11"/>
      <c r="M162" s="6" t="e">
        <f t="shared" ca="1" si="48"/>
        <v>#NUM!</v>
      </c>
      <c r="N162" s="40" t="str">
        <f t="shared" si="39"/>
        <v>144기 보수</v>
      </c>
      <c r="O162" s="38" t="e">
        <f t="shared" ca="1" si="49"/>
        <v>#NUM!</v>
      </c>
      <c r="P162" s="38" t="e">
        <f t="shared" ca="1" si="50"/>
        <v>#NAME?</v>
      </c>
      <c r="Q162" s="38" t="e">
        <f t="shared" ca="1" si="51"/>
        <v>#NUM!</v>
      </c>
      <c r="R162" s="38" t="e">
        <f t="shared" ca="1" si="52"/>
        <v>#NUM!</v>
      </c>
      <c r="S162" s="38" t="e">
        <f t="shared" ca="1" si="53"/>
        <v>#NUM!</v>
      </c>
      <c r="T162" s="38" t="e">
        <f t="shared" ca="1" si="54"/>
        <v>#NUM!</v>
      </c>
    </row>
    <row r="163" spans="1:20" ht="20.25" customHeight="1">
      <c r="A163" s="62"/>
      <c r="B163" s="6" t="e">
        <f t="shared" ca="1" si="40"/>
        <v>#NUM!</v>
      </c>
      <c r="C163" s="117" t="e">
        <f t="shared" ca="1" si="41"/>
        <v>#NUM!</v>
      </c>
      <c r="D163" s="131" t="e">
        <f t="shared" ca="1" si="42"/>
        <v>#NUM!</v>
      </c>
      <c r="E163" s="131" t="e">
        <f t="shared" ca="1" si="43"/>
        <v>#NUM!</v>
      </c>
      <c r="F163" s="137" t="e">
        <f t="shared" ca="1" si="44"/>
        <v>#NUM!</v>
      </c>
      <c r="G163" s="132" t="e">
        <f t="shared" ca="1" si="45"/>
        <v>#NUM!</v>
      </c>
      <c r="H163" s="132" t="e">
        <f t="shared" ca="1" si="46"/>
        <v>#NUM!</v>
      </c>
      <c r="I163" s="131" t="e">
        <f t="shared" ca="1" si="47"/>
        <v>#NUM!</v>
      </c>
      <c r="J163" s="66"/>
      <c r="K163" s="11"/>
      <c r="L163" s="11"/>
      <c r="M163" s="6" t="e">
        <f t="shared" ca="1" si="48"/>
        <v>#NUM!</v>
      </c>
      <c r="N163" s="40" t="str">
        <f t="shared" si="39"/>
        <v>145기 보수</v>
      </c>
      <c r="O163" s="38" t="e">
        <f t="shared" ca="1" si="49"/>
        <v>#NUM!</v>
      </c>
      <c r="P163" s="38" t="e">
        <f t="shared" ca="1" si="50"/>
        <v>#NAME?</v>
      </c>
      <c r="Q163" s="38" t="e">
        <f t="shared" ca="1" si="51"/>
        <v>#NUM!</v>
      </c>
      <c r="R163" s="38" t="e">
        <f t="shared" ca="1" si="52"/>
        <v>#NUM!</v>
      </c>
      <c r="S163" s="38" t="e">
        <f t="shared" ca="1" si="53"/>
        <v>#NUM!</v>
      </c>
      <c r="T163" s="38" t="e">
        <f t="shared" ca="1" si="54"/>
        <v>#NUM!</v>
      </c>
    </row>
    <row r="164" spans="1:20" ht="20.25" customHeight="1">
      <c r="A164" s="62"/>
      <c r="B164" s="6" t="e">
        <f t="shared" ca="1" si="40"/>
        <v>#NUM!</v>
      </c>
      <c r="C164" s="117" t="e">
        <f t="shared" ca="1" si="41"/>
        <v>#NUM!</v>
      </c>
      <c r="D164" s="131" t="e">
        <f t="shared" ca="1" si="42"/>
        <v>#NUM!</v>
      </c>
      <c r="E164" s="131" t="e">
        <f t="shared" ca="1" si="43"/>
        <v>#NUM!</v>
      </c>
      <c r="F164" s="137" t="e">
        <f t="shared" ca="1" si="44"/>
        <v>#NUM!</v>
      </c>
      <c r="G164" s="132" t="e">
        <f t="shared" ca="1" si="45"/>
        <v>#NUM!</v>
      </c>
      <c r="H164" s="132" t="e">
        <f t="shared" ca="1" si="46"/>
        <v>#NUM!</v>
      </c>
      <c r="I164" s="131" t="e">
        <f t="shared" ca="1" si="47"/>
        <v>#NUM!</v>
      </c>
      <c r="J164" s="66"/>
      <c r="K164" s="11"/>
      <c r="L164" s="11"/>
      <c r="M164" s="6" t="e">
        <f t="shared" ca="1" si="48"/>
        <v>#NUM!</v>
      </c>
      <c r="N164" s="40" t="str">
        <f t="shared" si="39"/>
        <v>146기 보수</v>
      </c>
      <c r="O164" s="38" t="e">
        <f t="shared" ca="1" si="49"/>
        <v>#NUM!</v>
      </c>
      <c r="P164" s="38" t="e">
        <f t="shared" ca="1" si="50"/>
        <v>#NAME?</v>
      </c>
      <c r="Q164" s="38" t="e">
        <f t="shared" ca="1" si="51"/>
        <v>#NUM!</v>
      </c>
      <c r="R164" s="38" t="e">
        <f t="shared" ca="1" si="52"/>
        <v>#NUM!</v>
      </c>
      <c r="S164" s="38" t="e">
        <f t="shared" ca="1" si="53"/>
        <v>#NUM!</v>
      </c>
      <c r="T164" s="38" t="e">
        <f t="shared" ca="1" si="54"/>
        <v>#NUM!</v>
      </c>
    </row>
    <row r="165" spans="1:20" ht="20.25" customHeight="1">
      <c r="A165" s="62"/>
      <c r="B165" s="6" t="e">
        <f t="shared" ca="1" si="40"/>
        <v>#NUM!</v>
      </c>
      <c r="C165" s="117" t="e">
        <f t="shared" ca="1" si="41"/>
        <v>#NUM!</v>
      </c>
      <c r="D165" s="131" t="e">
        <f t="shared" ca="1" si="42"/>
        <v>#NUM!</v>
      </c>
      <c r="E165" s="131" t="e">
        <f t="shared" ca="1" si="43"/>
        <v>#NUM!</v>
      </c>
      <c r="F165" s="137" t="e">
        <f t="shared" ca="1" si="44"/>
        <v>#NUM!</v>
      </c>
      <c r="G165" s="132" t="e">
        <f t="shared" ca="1" si="45"/>
        <v>#NUM!</v>
      </c>
      <c r="H165" s="132" t="e">
        <f t="shared" ca="1" si="46"/>
        <v>#NUM!</v>
      </c>
      <c r="I165" s="131" t="e">
        <f t="shared" ca="1" si="47"/>
        <v>#NUM!</v>
      </c>
      <c r="J165" s="66"/>
      <c r="K165" s="11"/>
      <c r="L165" s="11"/>
      <c r="M165" s="6" t="e">
        <f t="shared" ca="1" si="48"/>
        <v>#NUM!</v>
      </c>
      <c r="N165" s="40" t="str">
        <f t="shared" si="39"/>
        <v>147기 보수</v>
      </c>
      <c r="O165" s="38" t="e">
        <f t="shared" ca="1" si="49"/>
        <v>#NUM!</v>
      </c>
      <c r="P165" s="38" t="e">
        <f t="shared" ca="1" si="50"/>
        <v>#NAME?</v>
      </c>
      <c r="Q165" s="38" t="e">
        <f t="shared" ca="1" si="51"/>
        <v>#NUM!</v>
      </c>
      <c r="R165" s="38" t="e">
        <f t="shared" ca="1" si="52"/>
        <v>#NUM!</v>
      </c>
      <c r="S165" s="38" t="e">
        <f t="shared" ca="1" si="53"/>
        <v>#NUM!</v>
      </c>
      <c r="T165" s="38" t="e">
        <f t="shared" ca="1" si="54"/>
        <v>#NUM!</v>
      </c>
    </row>
    <row r="166" spans="1:20" ht="20.25" customHeight="1">
      <c r="A166" s="62"/>
      <c r="B166" s="6" t="e">
        <f t="shared" ca="1" si="40"/>
        <v>#NUM!</v>
      </c>
      <c r="C166" s="117" t="e">
        <f t="shared" ca="1" si="41"/>
        <v>#NUM!</v>
      </c>
      <c r="D166" s="131" t="e">
        <f t="shared" ca="1" si="42"/>
        <v>#NUM!</v>
      </c>
      <c r="E166" s="131" t="e">
        <f t="shared" ca="1" si="43"/>
        <v>#NUM!</v>
      </c>
      <c r="F166" s="137" t="e">
        <f t="shared" ca="1" si="44"/>
        <v>#NUM!</v>
      </c>
      <c r="G166" s="132" t="e">
        <f t="shared" ca="1" si="45"/>
        <v>#NUM!</v>
      </c>
      <c r="H166" s="132" t="e">
        <f t="shared" ca="1" si="46"/>
        <v>#NUM!</v>
      </c>
      <c r="I166" s="131" t="e">
        <f t="shared" ca="1" si="47"/>
        <v>#NUM!</v>
      </c>
      <c r="J166" s="66"/>
      <c r="K166" s="11"/>
      <c r="L166" s="11"/>
      <c r="M166" s="6" t="e">
        <f t="shared" ca="1" si="48"/>
        <v>#NUM!</v>
      </c>
      <c r="N166" s="40" t="str">
        <f t="shared" si="39"/>
        <v>148기 보수</v>
      </c>
      <c r="O166" s="38" t="e">
        <f t="shared" ca="1" si="49"/>
        <v>#NUM!</v>
      </c>
      <c r="P166" s="38" t="e">
        <f t="shared" ca="1" si="50"/>
        <v>#NAME?</v>
      </c>
      <c r="Q166" s="38" t="e">
        <f t="shared" ca="1" si="51"/>
        <v>#NUM!</v>
      </c>
      <c r="R166" s="38" t="e">
        <f t="shared" ca="1" si="52"/>
        <v>#NUM!</v>
      </c>
      <c r="S166" s="38" t="e">
        <f t="shared" ca="1" si="53"/>
        <v>#NUM!</v>
      </c>
      <c r="T166" s="38" t="e">
        <f t="shared" ca="1" si="54"/>
        <v>#NUM!</v>
      </c>
    </row>
    <row r="167" spans="1:20" ht="20.25" customHeight="1">
      <c r="A167" s="62"/>
      <c r="B167" s="6" t="e">
        <f t="shared" ca="1" si="40"/>
        <v>#NUM!</v>
      </c>
      <c r="C167" s="117" t="e">
        <f t="shared" ca="1" si="41"/>
        <v>#NUM!</v>
      </c>
      <c r="D167" s="131" t="e">
        <f t="shared" ca="1" si="42"/>
        <v>#NUM!</v>
      </c>
      <c r="E167" s="131" t="e">
        <f t="shared" ca="1" si="43"/>
        <v>#NUM!</v>
      </c>
      <c r="F167" s="137" t="e">
        <f t="shared" ca="1" si="44"/>
        <v>#NUM!</v>
      </c>
      <c r="G167" s="132" t="e">
        <f t="shared" ca="1" si="45"/>
        <v>#NUM!</v>
      </c>
      <c r="H167" s="132" t="e">
        <f t="shared" ca="1" si="46"/>
        <v>#NUM!</v>
      </c>
      <c r="I167" s="131" t="e">
        <f t="shared" ca="1" si="47"/>
        <v>#NUM!</v>
      </c>
      <c r="J167" s="66"/>
      <c r="K167" s="11"/>
      <c r="L167" s="11"/>
      <c r="M167" s="6" t="e">
        <f t="shared" ca="1" si="48"/>
        <v>#NUM!</v>
      </c>
      <c r="N167" s="40" t="str">
        <f t="shared" si="39"/>
        <v>149기 보수</v>
      </c>
      <c r="O167" s="38" t="e">
        <f t="shared" ca="1" si="49"/>
        <v>#NUM!</v>
      </c>
      <c r="P167" s="38" t="e">
        <f t="shared" ca="1" si="50"/>
        <v>#NAME?</v>
      </c>
      <c r="Q167" s="38" t="e">
        <f t="shared" ca="1" si="51"/>
        <v>#NUM!</v>
      </c>
      <c r="R167" s="38" t="e">
        <f t="shared" ca="1" si="52"/>
        <v>#NUM!</v>
      </c>
      <c r="S167" s="38" t="e">
        <f t="shared" ca="1" si="53"/>
        <v>#NUM!</v>
      </c>
      <c r="T167" s="38" t="e">
        <f t="shared" ca="1" si="54"/>
        <v>#NUM!</v>
      </c>
    </row>
    <row r="168" spans="1:20" ht="20.25" customHeight="1">
      <c r="A168" s="62"/>
      <c r="B168" s="6" t="e">
        <f t="shared" ca="1" si="40"/>
        <v>#NUM!</v>
      </c>
      <c r="C168" s="117" t="e">
        <f t="shared" ca="1" si="41"/>
        <v>#NUM!</v>
      </c>
      <c r="D168" s="131" t="e">
        <f t="shared" ca="1" si="42"/>
        <v>#NUM!</v>
      </c>
      <c r="E168" s="131" t="e">
        <f t="shared" ca="1" si="43"/>
        <v>#NUM!</v>
      </c>
      <c r="F168" s="137" t="e">
        <f t="shared" ca="1" si="44"/>
        <v>#NUM!</v>
      </c>
      <c r="G168" s="132" t="e">
        <f t="shared" ca="1" si="45"/>
        <v>#NUM!</v>
      </c>
      <c r="H168" s="132" t="e">
        <f t="shared" ca="1" si="46"/>
        <v>#NUM!</v>
      </c>
      <c r="I168" s="131" t="e">
        <f t="shared" ca="1" si="47"/>
        <v>#NUM!</v>
      </c>
      <c r="J168" s="66"/>
      <c r="K168" s="11"/>
      <c r="L168" s="11"/>
      <c r="M168" s="6" t="e">
        <f t="shared" ca="1" si="48"/>
        <v>#NUM!</v>
      </c>
      <c r="N168" s="40" t="str">
        <f t="shared" si="39"/>
        <v>150기 보수</v>
      </c>
      <c r="O168" s="38" t="e">
        <f t="shared" ca="1" si="49"/>
        <v>#NUM!</v>
      </c>
      <c r="P168" s="38" t="e">
        <f t="shared" ca="1" si="50"/>
        <v>#NAME?</v>
      </c>
      <c r="Q168" s="38" t="e">
        <f t="shared" ca="1" si="51"/>
        <v>#NUM!</v>
      </c>
      <c r="R168" s="38" t="e">
        <f t="shared" ca="1" si="52"/>
        <v>#NUM!</v>
      </c>
      <c r="S168" s="38" t="e">
        <f t="shared" ca="1" si="53"/>
        <v>#NUM!</v>
      </c>
      <c r="T168" s="38" t="e">
        <f t="shared" ca="1" si="54"/>
        <v>#NUM!</v>
      </c>
    </row>
    <row r="169" spans="1:20" ht="20.25" customHeight="1">
      <c r="A169" s="62"/>
      <c r="B169" s="6" t="e">
        <f t="shared" ca="1" si="40"/>
        <v>#NUM!</v>
      </c>
      <c r="C169" s="117" t="e">
        <f t="shared" ca="1" si="41"/>
        <v>#NUM!</v>
      </c>
      <c r="D169" s="131" t="e">
        <f t="shared" ca="1" si="42"/>
        <v>#NUM!</v>
      </c>
      <c r="E169" s="131" t="e">
        <f t="shared" ca="1" si="43"/>
        <v>#NUM!</v>
      </c>
      <c r="F169" s="137" t="e">
        <f t="shared" ca="1" si="44"/>
        <v>#NUM!</v>
      </c>
      <c r="G169" s="132" t="e">
        <f t="shared" ca="1" si="45"/>
        <v>#NUM!</v>
      </c>
      <c r="H169" s="132" t="e">
        <f t="shared" ca="1" si="46"/>
        <v>#NUM!</v>
      </c>
      <c r="I169" s="131" t="e">
        <f t="shared" ca="1" si="47"/>
        <v>#NUM!</v>
      </c>
      <c r="J169" s="66"/>
      <c r="K169" s="11"/>
      <c r="L169" s="11"/>
      <c r="M169" s="6" t="e">
        <f t="shared" ca="1" si="48"/>
        <v>#NUM!</v>
      </c>
      <c r="N169" s="40" t="str">
        <f t="shared" si="39"/>
        <v>151기 보수</v>
      </c>
      <c r="O169" s="38" t="e">
        <f t="shared" ca="1" si="49"/>
        <v>#NUM!</v>
      </c>
      <c r="P169" s="38" t="e">
        <f t="shared" ca="1" si="50"/>
        <v>#NAME?</v>
      </c>
      <c r="Q169" s="38" t="e">
        <f t="shared" ca="1" si="51"/>
        <v>#NUM!</v>
      </c>
      <c r="R169" s="38" t="e">
        <f t="shared" ca="1" si="52"/>
        <v>#NUM!</v>
      </c>
      <c r="S169" s="38" t="e">
        <f t="shared" ca="1" si="53"/>
        <v>#NUM!</v>
      </c>
      <c r="T169" s="38" t="e">
        <f t="shared" ca="1" si="54"/>
        <v>#NUM!</v>
      </c>
    </row>
    <row r="170" spans="1:20" ht="20.25" customHeight="1">
      <c r="A170" s="62"/>
      <c r="B170" s="6" t="e">
        <f t="shared" ca="1" si="40"/>
        <v>#NUM!</v>
      </c>
      <c r="C170" s="117" t="e">
        <f t="shared" ca="1" si="41"/>
        <v>#NUM!</v>
      </c>
      <c r="D170" s="131" t="e">
        <f t="shared" ca="1" si="42"/>
        <v>#NUM!</v>
      </c>
      <c r="E170" s="131" t="e">
        <f t="shared" ca="1" si="43"/>
        <v>#NUM!</v>
      </c>
      <c r="F170" s="137" t="e">
        <f t="shared" ca="1" si="44"/>
        <v>#NUM!</v>
      </c>
      <c r="G170" s="132" t="e">
        <f t="shared" ca="1" si="45"/>
        <v>#NUM!</v>
      </c>
      <c r="H170" s="132" t="e">
        <f t="shared" ca="1" si="46"/>
        <v>#NUM!</v>
      </c>
      <c r="I170" s="131" t="e">
        <f t="shared" ca="1" si="47"/>
        <v>#NUM!</v>
      </c>
      <c r="J170" s="66"/>
      <c r="K170" s="11"/>
      <c r="L170" s="11"/>
      <c r="M170" s="6" t="e">
        <f t="shared" ca="1" si="48"/>
        <v>#NUM!</v>
      </c>
      <c r="N170" s="40" t="str">
        <f t="shared" si="39"/>
        <v>152기 보수</v>
      </c>
      <c r="O170" s="38" t="e">
        <f t="shared" ca="1" si="49"/>
        <v>#NUM!</v>
      </c>
      <c r="P170" s="38" t="e">
        <f t="shared" ca="1" si="50"/>
        <v>#NAME?</v>
      </c>
      <c r="Q170" s="38" t="e">
        <f t="shared" ca="1" si="51"/>
        <v>#NUM!</v>
      </c>
      <c r="R170" s="38" t="e">
        <f t="shared" ca="1" si="52"/>
        <v>#NUM!</v>
      </c>
      <c r="S170" s="38" t="e">
        <f t="shared" ca="1" si="53"/>
        <v>#NUM!</v>
      </c>
      <c r="T170" s="38" t="e">
        <f t="shared" ca="1" si="54"/>
        <v>#NUM!</v>
      </c>
    </row>
    <row r="171" spans="1:20" ht="20.25" customHeight="1">
      <c r="A171" s="62"/>
      <c r="B171" s="6" t="e">
        <f t="shared" ca="1" si="40"/>
        <v>#NUM!</v>
      </c>
      <c r="C171" s="117" t="e">
        <f t="shared" ca="1" si="41"/>
        <v>#NUM!</v>
      </c>
      <c r="D171" s="131" t="e">
        <f t="shared" ca="1" si="42"/>
        <v>#NUM!</v>
      </c>
      <c r="E171" s="131" t="e">
        <f t="shared" ca="1" si="43"/>
        <v>#NUM!</v>
      </c>
      <c r="F171" s="137" t="e">
        <f t="shared" ca="1" si="44"/>
        <v>#NUM!</v>
      </c>
      <c r="G171" s="132" t="e">
        <f t="shared" ca="1" si="45"/>
        <v>#NUM!</v>
      </c>
      <c r="H171" s="132" t="e">
        <f t="shared" ca="1" si="46"/>
        <v>#NUM!</v>
      </c>
      <c r="I171" s="131" t="e">
        <f t="shared" ca="1" si="47"/>
        <v>#NUM!</v>
      </c>
      <c r="J171" s="66"/>
      <c r="K171" s="11"/>
      <c r="L171" s="11"/>
      <c r="M171" s="6" t="e">
        <f t="shared" ca="1" si="48"/>
        <v>#NUM!</v>
      </c>
      <c r="N171" s="40" t="str">
        <f t="shared" si="39"/>
        <v>153기 보수</v>
      </c>
      <c r="O171" s="38" t="e">
        <f t="shared" ca="1" si="49"/>
        <v>#NUM!</v>
      </c>
      <c r="P171" s="38" t="e">
        <f t="shared" ca="1" si="50"/>
        <v>#NAME?</v>
      </c>
      <c r="Q171" s="38" t="e">
        <f t="shared" ca="1" si="51"/>
        <v>#NUM!</v>
      </c>
      <c r="R171" s="38" t="e">
        <f t="shared" ca="1" si="52"/>
        <v>#NUM!</v>
      </c>
      <c r="S171" s="38" t="e">
        <f t="shared" ca="1" si="53"/>
        <v>#NUM!</v>
      </c>
      <c r="T171" s="38" t="e">
        <f t="shared" ca="1" si="54"/>
        <v>#NUM!</v>
      </c>
    </row>
    <row r="172" spans="1:20" ht="20.25" customHeight="1">
      <c r="A172" s="62"/>
      <c r="B172" s="6" t="e">
        <f t="shared" ca="1" si="40"/>
        <v>#NUM!</v>
      </c>
      <c r="C172" s="117" t="e">
        <f t="shared" ca="1" si="41"/>
        <v>#NUM!</v>
      </c>
      <c r="D172" s="131" t="e">
        <f t="shared" ca="1" si="42"/>
        <v>#NUM!</v>
      </c>
      <c r="E172" s="131" t="e">
        <f t="shared" ca="1" si="43"/>
        <v>#NUM!</v>
      </c>
      <c r="F172" s="137" t="e">
        <f t="shared" ca="1" si="44"/>
        <v>#NUM!</v>
      </c>
      <c r="G172" s="132" t="e">
        <f t="shared" ca="1" si="45"/>
        <v>#NUM!</v>
      </c>
      <c r="H172" s="132" t="e">
        <f t="shared" ca="1" si="46"/>
        <v>#NUM!</v>
      </c>
      <c r="I172" s="131" t="e">
        <f t="shared" ca="1" si="47"/>
        <v>#NUM!</v>
      </c>
      <c r="J172" s="66"/>
      <c r="K172" s="11"/>
      <c r="L172" s="11"/>
      <c r="M172" s="6" t="e">
        <f t="shared" ca="1" si="48"/>
        <v>#NUM!</v>
      </c>
      <c r="N172" s="40" t="str">
        <f t="shared" si="39"/>
        <v>154기 보수</v>
      </c>
      <c r="O172" s="38" t="e">
        <f t="shared" ca="1" si="49"/>
        <v>#NUM!</v>
      </c>
      <c r="P172" s="38" t="e">
        <f t="shared" ca="1" si="50"/>
        <v>#NAME?</v>
      </c>
      <c r="Q172" s="38" t="e">
        <f t="shared" ca="1" si="51"/>
        <v>#NUM!</v>
      </c>
      <c r="R172" s="38" t="e">
        <f t="shared" ca="1" si="52"/>
        <v>#NUM!</v>
      </c>
      <c r="S172" s="38" t="e">
        <f t="shared" ca="1" si="53"/>
        <v>#NUM!</v>
      </c>
      <c r="T172" s="38" t="e">
        <f t="shared" ca="1" si="54"/>
        <v>#NUM!</v>
      </c>
    </row>
    <row r="173" spans="1:20" ht="20.25" customHeight="1">
      <c r="A173" s="62"/>
      <c r="B173" s="6" t="e">
        <f t="shared" ca="1" si="40"/>
        <v>#NUM!</v>
      </c>
      <c r="C173" s="117" t="e">
        <f t="shared" ca="1" si="41"/>
        <v>#NUM!</v>
      </c>
      <c r="D173" s="131" t="e">
        <f t="shared" ca="1" si="42"/>
        <v>#NUM!</v>
      </c>
      <c r="E173" s="131" t="e">
        <f t="shared" ca="1" si="43"/>
        <v>#NUM!</v>
      </c>
      <c r="F173" s="137" t="e">
        <f t="shared" ca="1" si="44"/>
        <v>#NUM!</v>
      </c>
      <c r="G173" s="132" t="e">
        <f t="shared" ca="1" si="45"/>
        <v>#NUM!</v>
      </c>
      <c r="H173" s="132" t="e">
        <f t="shared" ca="1" si="46"/>
        <v>#NUM!</v>
      </c>
      <c r="I173" s="131" t="e">
        <f t="shared" ca="1" si="47"/>
        <v>#NUM!</v>
      </c>
      <c r="J173" s="66"/>
      <c r="K173" s="11"/>
      <c r="L173" s="11"/>
      <c r="M173" s="6" t="e">
        <f t="shared" ca="1" si="48"/>
        <v>#NUM!</v>
      </c>
      <c r="N173" s="40" t="str">
        <f t="shared" si="39"/>
        <v>155기 보수</v>
      </c>
      <c r="O173" s="38" t="e">
        <f t="shared" ca="1" si="49"/>
        <v>#NUM!</v>
      </c>
      <c r="P173" s="38" t="e">
        <f t="shared" ca="1" si="50"/>
        <v>#NAME?</v>
      </c>
      <c r="Q173" s="38" t="e">
        <f t="shared" ca="1" si="51"/>
        <v>#NUM!</v>
      </c>
      <c r="R173" s="38" t="e">
        <f t="shared" ca="1" si="52"/>
        <v>#NUM!</v>
      </c>
      <c r="S173" s="38" t="e">
        <f t="shared" ca="1" si="53"/>
        <v>#NUM!</v>
      </c>
      <c r="T173" s="38" t="e">
        <f t="shared" ca="1" si="54"/>
        <v>#NUM!</v>
      </c>
    </row>
    <row r="174" spans="1:20" ht="20.25" customHeight="1">
      <c r="A174" s="62"/>
      <c r="B174" s="6" t="e">
        <f t="shared" ca="1" si="40"/>
        <v>#NUM!</v>
      </c>
      <c r="C174" s="117" t="e">
        <f t="shared" ca="1" si="41"/>
        <v>#NUM!</v>
      </c>
      <c r="D174" s="131" t="e">
        <f t="shared" ca="1" si="42"/>
        <v>#NUM!</v>
      </c>
      <c r="E174" s="131" t="e">
        <f t="shared" ca="1" si="43"/>
        <v>#NUM!</v>
      </c>
      <c r="F174" s="137" t="e">
        <f t="shared" ca="1" si="44"/>
        <v>#NUM!</v>
      </c>
      <c r="G174" s="132" t="e">
        <f t="shared" ca="1" si="45"/>
        <v>#NUM!</v>
      </c>
      <c r="H174" s="132" t="e">
        <f t="shared" ca="1" si="46"/>
        <v>#NUM!</v>
      </c>
      <c r="I174" s="131" t="e">
        <f t="shared" ca="1" si="47"/>
        <v>#NUM!</v>
      </c>
      <c r="J174" s="66"/>
      <c r="K174" s="11"/>
      <c r="L174" s="11"/>
      <c r="M174" s="6" t="e">
        <f t="shared" ca="1" si="48"/>
        <v>#NUM!</v>
      </c>
      <c r="N174" s="40" t="str">
        <f t="shared" si="39"/>
        <v>156기 보수</v>
      </c>
      <c r="O174" s="38" t="e">
        <f t="shared" ca="1" si="49"/>
        <v>#NUM!</v>
      </c>
      <c r="P174" s="38" t="e">
        <f t="shared" ca="1" si="50"/>
        <v>#NAME?</v>
      </c>
      <c r="Q174" s="38" t="e">
        <f t="shared" ca="1" si="51"/>
        <v>#NUM!</v>
      </c>
      <c r="R174" s="38" t="e">
        <f t="shared" ca="1" si="52"/>
        <v>#NUM!</v>
      </c>
      <c r="S174" s="38" t="e">
        <f t="shared" ca="1" si="53"/>
        <v>#NUM!</v>
      </c>
      <c r="T174" s="38" t="e">
        <f t="shared" ca="1" si="54"/>
        <v>#NUM!</v>
      </c>
    </row>
    <row r="175" spans="1:20" ht="20.25" customHeight="1">
      <c r="A175" s="62"/>
      <c r="B175" s="6" t="e">
        <f t="shared" ca="1" si="40"/>
        <v>#NUM!</v>
      </c>
      <c r="C175" s="117" t="e">
        <f t="shared" ca="1" si="41"/>
        <v>#NUM!</v>
      </c>
      <c r="D175" s="131" t="e">
        <f t="shared" ca="1" si="42"/>
        <v>#NUM!</v>
      </c>
      <c r="E175" s="131" t="e">
        <f t="shared" ca="1" si="43"/>
        <v>#NUM!</v>
      </c>
      <c r="F175" s="137" t="e">
        <f t="shared" ca="1" si="44"/>
        <v>#NUM!</v>
      </c>
      <c r="G175" s="132" t="e">
        <f t="shared" ca="1" si="45"/>
        <v>#NUM!</v>
      </c>
      <c r="H175" s="132" t="e">
        <f t="shared" ca="1" si="46"/>
        <v>#NUM!</v>
      </c>
      <c r="I175" s="131" t="e">
        <f t="shared" ca="1" si="47"/>
        <v>#NUM!</v>
      </c>
      <c r="J175" s="66"/>
      <c r="K175" s="11"/>
      <c r="L175" s="11"/>
      <c r="M175" s="6" t="e">
        <f t="shared" ca="1" si="48"/>
        <v>#NUM!</v>
      </c>
      <c r="N175" s="40" t="str">
        <f t="shared" si="39"/>
        <v>157기 보수</v>
      </c>
      <c r="O175" s="38" t="e">
        <f t="shared" ca="1" si="49"/>
        <v>#NUM!</v>
      </c>
      <c r="P175" s="38" t="e">
        <f t="shared" ca="1" si="50"/>
        <v>#NAME?</v>
      </c>
      <c r="Q175" s="38" t="e">
        <f t="shared" ca="1" si="51"/>
        <v>#NUM!</v>
      </c>
      <c r="R175" s="38" t="e">
        <f t="shared" ca="1" si="52"/>
        <v>#NUM!</v>
      </c>
      <c r="S175" s="38" t="e">
        <f t="shared" ca="1" si="53"/>
        <v>#NUM!</v>
      </c>
      <c r="T175" s="38" t="e">
        <f t="shared" ca="1" si="54"/>
        <v>#NUM!</v>
      </c>
    </row>
    <row r="176" spans="1:20" ht="20.25" customHeight="1">
      <c r="A176" s="62"/>
      <c r="B176" s="6" t="e">
        <f t="shared" ca="1" si="40"/>
        <v>#NUM!</v>
      </c>
      <c r="C176" s="117" t="e">
        <f t="shared" ca="1" si="41"/>
        <v>#NUM!</v>
      </c>
      <c r="D176" s="131" t="e">
        <f t="shared" ca="1" si="42"/>
        <v>#NUM!</v>
      </c>
      <c r="E176" s="131" t="e">
        <f t="shared" ca="1" si="43"/>
        <v>#NUM!</v>
      </c>
      <c r="F176" s="137" t="e">
        <f t="shared" ca="1" si="44"/>
        <v>#NUM!</v>
      </c>
      <c r="G176" s="132" t="e">
        <f t="shared" ca="1" si="45"/>
        <v>#NUM!</v>
      </c>
      <c r="H176" s="132" t="e">
        <f t="shared" ca="1" si="46"/>
        <v>#NUM!</v>
      </c>
      <c r="I176" s="131" t="e">
        <f t="shared" ca="1" si="47"/>
        <v>#NUM!</v>
      </c>
      <c r="J176" s="66"/>
      <c r="K176" s="11"/>
      <c r="L176" s="11"/>
      <c r="M176" s="6" t="e">
        <f t="shared" ca="1" si="48"/>
        <v>#NUM!</v>
      </c>
      <c r="N176" s="40" t="str">
        <f t="shared" si="39"/>
        <v>158기 보수</v>
      </c>
      <c r="O176" s="38" t="e">
        <f t="shared" ca="1" si="49"/>
        <v>#NUM!</v>
      </c>
      <c r="P176" s="38" t="e">
        <f t="shared" ca="1" si="50"/>
        <v>#NAME?</v>
      </c>
      <c r="Q176" s="38" t="e">
        <f t="shared" ca="1" si="51"/>
        <v>#NUM!</v>
      </c>
      <c r="R176" s="38" t="e">
        <f t="shared" ca="1" si="52"/>
        <v>#NUM!</v>
      </c>
      <c r="S176" s="38" t="e">
        <f t="shared" ca="1" si="53"/>
        <v>#NUM!</v>
      </c>
      <c r="T176" s="38" t="e">
        <f t="shared" ca="1" si="54"/>
        <v>#NUM!</v>
      </c>
    </row>
    <row r="177" spans="1:20" ht="20.25" customHeight="1">
      <c r="A177" s="62"/>
      <c r="B177" s="6" t="e">
        <f t="shared" ca="1" si="40"/>
        <v>#NUM!</v>
      </c>
      <c r="C177" s="117" t="e">
        <f t="shared" ca="1" si="41"/>
        <v>#NUM!</v>
      </c>
      <c r="D177" s="131" t="e">
        <f t="shared" ca="1" si="42"/>
        <v>#NUM!</v>
      </c>
      <c r="E177" s="131" t="e">
        <f t="shared" ca="1" si="43"/>
        <v>#NUM!</v>
      </c>
      <c r="F177" s="137" t="e">
        <f t="shared" ca="1" si="44"/>
        <v>#NUM!</v>
      </c>
      <c r="G177" s="132" t="e">
        <f t="shared" ca="1" si="45"/>
        <v>#NUM!</v>
      </c>
      <c r="H177" s="132" t="e">
        <f t="shared" ca="1" si="46"/>
        <v>#NUM!</v>
      </c>
      <c r="I177" s="131" t="e">
        <f t="shared" ca="1" si="47"/>
        <v>#NUM!</v>
      </c>
      <c r="J177" s="66"/>
      <c r="K177" s="11"/>
      <c r="L177" s="11"/>
      <c r="M177" s="6" t="e">
        <f t="shared" ca="1" si="48"/>
        <v>#NUM!</v>
      </c>
      <c r="N177" s="40" t="str">
        <f t="shared" si="39"/>
        <v>159기 보수</v>
      </c>
      <c r="O177" s="38" t="e">
        <f t="shared" ca="1" si="49"/>
        <v>#NUM!</v>
      </c>
      <c r="P177" s="38" t="e">
        <f t="shared" ca="1" si="50"/>
        <v>#NAME?</v>
      </c>
      <c r="Q177" s="38" t="e">
        <f t="shared" ca="1" si="51"/>
        <v>#NUM!</v>
      </c>
      <c r="R177" s="38" t="e">
        <f t="shared" ca="1" si="52"/>
        <v>#NUM!</v>
      </c>
      <c r="S177" s="38" t="e">
        <f t="shared" ca="1" si="53"/>
        <v>#NUM!</v>
      </c>
      <c r="T177" s="38" t="e">
        <f t="shared" ca="1" si="54"/>
        <v>#NUM!</v>
      </c>
    </row>
    <row r="178" spans="1:20" ht="20.25" customHeight="1">
      <c r="A178" s="62"/>
      <c r="B178" s="6" t="e">
        <f t="shared" ca="1" si="40"/>
        <v>#NUM!</v>
      </c>
      <c r="C178" s="117" t="e">
        <f t="shared" ca="1" si="41"/>
        <v>#NUM!</v>
      </c>
      <c r="D178" s="131" t="e">
        <f t="shared" ca="1" si="42"/>
        <v>#NUM!</v>
      </c>
      <c r="E178" s="131" t="e">
        <f t="shared" ca="1" si="43"/>
        <v>#NUM!</v>
      </c>
      <c r="F178" s="137" t="e">
        <f t="shared" ca="1" si="44"/>
        <v>#NUM!</v>
      </c>
      <c r="G178" s="132" t="e">
        <f t="shared" ca="1" si="45"/>
        <v>#NUM!</v>
      </c>
      <c r="H178" s="132" t="e">
        <f t="shared" ca="1" si="46"/>
        <v>#NUM!</v>
      </c>
      <c r="I178" s="131" t="e">
        <f t="shared" ca="1" si="47"/>
        <v>#NUM!</v>
      </c>
      <c r="J178" s="66"/>
      <c r="K178" s="11"/>
      <c r="L178" s="11"/>
      <c r="M178" s="6" t="e">
        <f t="shared" ca="1" si="48"/>
        <v>#NUM!</v>
      </c>
      <c r="N178" s="40" t="str">
        <f t="shared" si="39"/>
        <v>160기 보수</v>
      </c>
      <c r="O178" s="38" t="e">
        <f t="shared" ca="1" si="49"/>
        <v>#NUM!</v>
      </c>
      <c r="P178" s="38" t="e">
        <f t="shared" ca="1" si="50"/>
        <v>#NAME?</v>
      </c>
      <c r="Q178" s="38" t="e">
        <f t="shared" ca="1" si="51"/>
        <v>#NUM!</v>
      </c>
      <c r="R178" s="38" t="e">
        <f t="shared" ca="1" si="52"/>
        <v>#NUM!</v>
      </c>
      <c r="S178" s="38" t="e">
        <f t="shared" ca="1" si="53"/>
        <v>#NUM!</v>
      </c>
      <c r="T178" s="38" t="e">
        <f t="shared" ca="1" si="54"/>
        <v>#NUM!</v>
      </c>
    </row>
    <row r="179" spans="1:20" ht="20.25" customHeight="1">
      <c r="A179" s="62"/>
      <c r="B179" s="6" t="e">
        <f t="shared" ca="1" si="40"/>
        <v>#NUM!</v>
      </c>
      <c r="C179" s="117" t="e">
        <f t="shared" ca="1" si="41"/>
        <v>#NUM!</v>
      </c>
      <c r="D179" s="131" t="e">
        <f t="shared" ca="1" si="42"/>
        <v>#NUM!</v>
      </c>
      <c r="E179" s="131" t="e">
        <f t="shared" ca="1" si="43"/>
        <v>#NUM!</v>
      </c>
      <c r="F179" s="137" t="e">
        <f t="shared" ca="1" si="44"/>
        <v>#NUM!</v>
      </c>
      <c r="G179" s="132" t="e">
        <f t="shared" ca="1" si="45"/>
        <v>#NUM!</v>
      </c>
      <c r="H179" s="132" t="e">
        <f t="shared" ca="1" si="46"/>
        <v>#NUM!</v>
      </c>
      <c r="I179" s="131" t="e">
        <f t="shared" ca="1" si="47"/>
        <v>#NUM!</v>
      </c>
      <c r="J179" s="66"/>
      <c r="K179" s="11"/>
      <c r="L179" s="11"/>
      <c r="M179" s="6" t="e">
        <f t="shared" ca="1" si="48"/>
        <v>#NUM!</v>
      </c>
      <c r="N179" s="40" t="str">
        <f t="shared" si="39"/>
        <v>161기 보수</v>
      </c>
      <c r="O179" s="38" t="e">
        <f t="shared" ca="1" si="49"/>
        <v>#NUM!</v>
      </c>
      <c r="P179" s="38" t="e">
        <f t="shared" ca="1" si="50"/>
        <v>#NAME?</v>
      </c>
      <c r="Q179" s="38" t="e">
        <f t="shared" ca="1" si="51"/>
        <v>#NUM!</v>
      </c>
      <c r="R179" s="38" t="e">
        <f t="shared" ca="1" si="52"/>
        <v>#NUM!</v>
      </c>
      <c r="S179" s="38" t="e">
        <f t="shared" ca="1" si="53"/>
        <v>#NUM!</v>
      </c>
      <c r="T179" s="38" t="e">
        <f t="shared" ca="1" si="54"/>
        <v>#NUM!</v>
      </c>
    </row>
    <row r="180" spans="1:20" ht="20.25" customHeight="1">
      <c r="A180" s="62"/>
      <c r="B180" s="6" t="e">
        <f t="shared" ca="1" si="40"/>
        <v>#NUM!</v>
      </c>
      <c r="C180" s="117" t="e">
        <f t="shared" ca="1" si="41"/>
        <v>#NUM!</v>
      </c>
      <c r="D180" s="131" t="e">
        <f t="shared" ca="1" si="42"/>
        <v>#NUM!</v>
      </c>
      <c r="E180" s="131" t="e">
        <f t="shared" ca="1" si="43"/>
        <v>#NUM!</v>
      </c>
      <c r="F180" s="137" t="e">
        <f t="shared" ca="1" si="44"/>
        <v>#NUM!</v>
      </c>
      <c r="G180" s="132" t="e">
        <f t="shared" ca="1" si="45"/>
        <v>#NUM!</v>
      </c>
      <c r="H180" s="132" t="e">
        <f t="shared" ca="1" si="46"/>
        <v>#NUM!</v>
      </c>
      <c r="I180" s="131" t="e">
        <f t="shared" ca="1" si="47"/>
        <v>#NUM!</v>
      </c>
      <c r="J180" s="66"/>
      <c r="K180" s="11"/>
      <c r="L180" s="11"/>
      <c r="M180" s="6" t="e">
        <f t="shared" ca="1" si="48"/>
        <v>#NUM!</v>
      </c>
      <c r="N180" s="40" t="str">
        <f t="shared" si="39"/>
        <v>162기 보수</v>
      </c>
      <c r="O180" s="38" t="e">
        <f t="shared" ca="1" si="49"/>
        <v>#NUM!</v>
      </c>
      <c r="P180" s="38" t="e">
        <f t="shared" ca="1" si="50"/>
        <v>#NAME?</v>
      </c>
      <c r="Q180" s="38" t="e">
        <f t="shared" ca="1" si="51"/>
        <v>#NUM!</v>
      </c>
      <c r="R180" s="38" t="e">
        <f t="shared" ca="1" si="52"/>
        <v>#NUM!</v>
      </c>
      <c r="S180" s="38" t="e">
        <f t="shared" ca="1" si="53"/>
        <v>#NUM!</v>
      </c>
      <c r="T180" s="38" t="e">
        <f t="shared" ca="1" si="54"/>
        <v>#NUM!</v>
      </c>
    </row>
    <row r="181" spans="1:20" ht="20.25" customHeight="1">
      <c r="A181" s="62"/>
      <c r="B181" s="6" t="e">
        <f t="shared" ca="1" si="40"/>
        <v>#NUM!</v>
      </c>
      <c r="C181" s="117" t="e">
        <f t="shared" ca="1" si="41"/>
        <v>#NUM!</v>
      </c>
      <c r="D181" s="131" t="e">
        <f t="shared" ca="1" si="42"/>
        <v>#NUM!</v>
      </c>
      <c r="E181" s="131" t="e">
        <f t="shared" ca="1" si="43"/>
        <v>#NUM!</v>
      </c>
      <c r="F181" s="137" t="e">
        <f t="shared" ca="1" si="44"/>
        <v>#NUM!</v>
      </c>
      <c r="G181" s="132" t="e">
        <f t="shared" ca="1" si="45"/>
        <v>#NUM!</v>
      </c>
      <c r="H181" s="132" t="e">
        <f t="shared" ca="1" si="46"/>
        <v>#NUM!</v>
      </c>
      <c r="I181" s="131" t="e">
        <f t="shared" ca="1" si="47"/>
        <v>#NUM!</v>
      </c>
      <c r="J181" s="66"/>
      <c r="K181" s="11"/>
      <c r="L181" s="11"/>
      <c r="M181" s="6" t="e">
        <f t="shared" ca="1" si="48"/>
        <v>#NUM!</v>
      </c>
      <c r="N181" s="40" t="str">
        <f t="shared" si="39"/>
        <v>163기 보수</v>
      </c>
      <c r="O181" s="38" t="e">
        <f t="shared" ca="1" si="49"/>
        <v>#NUM!</v>
      </c>
      <c r="P181" s="38" t="e">
        <f t="shared" ca="1" si="50"/>
        <v>#NAME?</v>
      </c>
      <c r="Q181" s="38" t="e">
        <f t="shared" ca="1" si="51"/>
        <v>#NUM!</v>
      </c>
      <c r="R181" s="38" t="e">
        <f t="shared" ca="1" si="52"/>
        <v>#NUM!</v>
      </c>
      <c r="S181" s="38" t="e">
        <f t="shared" ca="1" si="53"/>
        <v>#NUM!</v>
      </c>
      <c r="T181" s="38" t="e">
        <f t="shared" ca="1" si="54"/>
        <v>#NUM!</v>
      </c>
    </row>
    <row r="182" spans="1:20" ht="20.25" customHeight="1">
      <c r="A182" s="62"/>
      <c r="B182" s="6" t="e">
        <f t="shared" ca="1" si="40"/>
        <v>#NUM!</v>
      </c>
      <c r="C182" s="117" t="e">
        <f t="shared" ca="1" si="41"/>
        <v>#NUM!</v>
      </c>
      <c r="D182" s="131" t="e">
        <f t="shared" ca="1" si="42"/>
        <v>#NUM!</v>
      </c>
      <c r="E182" s="131" t="e">
        <f t="shared" ca="1" si="43"/>
        <v>#NUM!</v>
      </c>
      <c r="F182" s="137" t="e">
        <f t="shared" ca="1" si="44"/>
        <v>#NUM!</v>
      </c>
      <c r="G182" s="132" t="e">
        <f t="shared" ca="1" si="45"/>
        <v>#NUM!</v>
      </c>
      <c r="H182" s="132" t="e">
        <f t="shared" ca="1" si="46"/>
        <v>#NUM!</v>
      </c>
      <c r="I182" s="131" t="e">
        <f t="shared" ca="1" si="47"/>
        <v>#NUM!</v>
      </c>
      <c r="J182" s="66"/>
      <c r="K182" s="11"/>
      <c r="L182" s="11"/>
      <c r="M182" s="6" t="e">
        <f t="shared" ca="1" si="48"/>
        <v>#NUM!</v>
      </c>
      <c r="N182" s="40" t="str">
        <f t="shared" si="39"/>
        <v>164기 보수</v>
      </c>
      <c r="O182" s="38" t="e">
        <f t="shared" ca="1" si="49"/>
        <v>#NUM!</v>
      </c>
      <c r="P182" s="38" t="e">
        <f t="shared" ca="1" si="50"/>
        <v>#NAME?</v>
      </c>
      <c r="Q182" s="38" t="e">
        <f t="shared" ca="1" si="51"/>
        <v>#NUM!</v>
      </c>
      <c r="R182" s="38" t="e">
        <f t="shared" ca="1" si="52"/>
        <v>#NUM!</v>
      </c>
      <c r="S182" s="38" t="e">
        <f t="shared" ca="1" si="53"/>
        <v>#NUM!</v>
      </c>
      <c r="T182" s="38" t="e">
        <f t="shared" ca="1" si="54"/>
        <v>#NUM!</v>
      </c>
    </row>
    <row r="183" spans="1:20" ht="20.25" customHeight="1">
      <c r="A183" s="62"/>
      <c r="B183" s="6" t="e">
        <f t="shared" ca="1" si="40"/>
        <v>#NUM!</v>
      </c>
      <c r="C183" s="117" t="e">
        <f t="shared" ca="1" si="41"/>
        <v>#NUM!</v>
      </c>
      <c r="D183" s="131" t="e">
        <f t="shared" ca="1" si="42"/>
        <v>#NUM!</v>
      </c>
      <c r="E183" s="131" t="e">
        <f t="shared" ca="1" si="43"/>
        <v>#NUM!</v>
      </c>
      <c r="F183" s="137" t="e">
        <f t="shared" ca="1" si="44"/>
        <v>#NUM!</v>
      </c>
      <c r="G183" s="132" t="e">
        <f t="shared" ca="1" si="45"/>
        <v>#NUM!</v>
      </c>
      <c r="H183" s="132" t="e">
        <f t="shared" ca="1" si="46"/>
        <v>#NUM!</v>
      </c>
      <c r="I183" s="131" t="e">
        <f t="shared" ca="1" si="47"/>
        <v>#NUM!</v>
      </c>
      <c r="J183" s="66"/>
      <c r="K183" s="11"/>
      <c r="L183" s="11"/>
      <c r="M183" s="6" t="e">
        <f t="shared" ca="1" si="48"/>
        <v>#NUM!</v>
      </c>
      <c r="N183" s="40" t="str">
        <f t="shared" si="39"/>
        <v>165기 보수</v>
      </c>
      <c r="O183" s="38" t="e">
        <f t="shared" ca="1" si="49"/>
        <v>#NUM!</v>
      </c>
      <c r="P183" s="38" t="e">
        <f t="shared" ca="1" si="50"/>
        <v>#NAME?</v>
      </c>
      <c r="Q183" s="38" t="e">
        <f t="shared" ca="1" si="51"/>
        <v>#NUM!</v>
      </c>
      <c r="R183" s="38" t="e">
        <f t="shared" ca="1" si="52"/>
        <v>#NUM!</v>
      </c>
      <c r="S183" s="38" t="e">
        <f t="shared" ca="1" si="53"/>
        <v>#NUM!</v>
      </c>
      <c r="T183" s="38" t="e">
        <f t="shared" ca="1" si="54"/>
        <v>#NUM!</v>
      </c>
    </row>
    <row r="184" spans="1:20" ht="20.25" customHeight="1">
      <c r="A184" s="62"/>
      <c r="B184" s="6" t="e">
        <f t="shared" ca="1" si="40"/>
        <v>#NUM!</v>
      </c>
      <c r="C184" s="117" t="e">
        <f t="shared" ca="1" si="41"/>
        <v>#NUM!</v>
      </c>
      <c r="D184" s="131" t="e">
        <f t="shared" ca="1" si="42"/>
        <v>#NUM!</v>
      </c>
      <c r="E184" s="131" t="e">
        <f t="shared" ca="1" si="43"/>
        <v>#NUM!</v>
      </c>
      <c r="F184" s="137" t="e">
        <f t="shared" ca="1" si="44"/>
        <v>#NUM!</v>
      </c>
      <c r="G184" s="132" t="e">
        <f t="shared" ca="1" si="45"/>
        <v>#NUM!</v>
      </c>
      <c r="H184" s="132" t="e">
        <f t="shared" ca="1" si="46"/>
        <v>#NUM!</v>
      </c>
      <c r="I184" s="131" t="e">
        <f t="shared" ca="1" si="47"/>
        <v>#NUM!</v>
      </c>
      <c r="J184" s="66"/>
      <c r="K184" s="11"/>
      <c r="L184" s="11"/>
      <c r="M184" s="6" t="e">
        <f t="shared" ca="1" si="48"/>
        <v>#NUM!</v>
      </c>
      <c r="N184" s="40" t="str">
        <f t="shared" si="39"/>
        <v>166기 보수</v>
      </c>
      <c r="O184" s="38" t="e">
        <f t="shared" ca="1" si="49"/>
        <v>#NUM!</v>
      </c>
      <c r="P184" s="38" t="e">
        <f t="shared" ca="1" si="50"/>
        <v>#NAME?</v>
      </c>
      <c r="Q184" s="38" t="e">
        <f t="shared" ca="1" si="51"/>
        <v>#NUM!</v>
      </c>
      <c r="R184" s="38" t="e">
        <f t="shared" ca="1" si="52"/>
        <v>#NUM!</v>
      </c>
      <c r="S184" s="38" t="e">
        <f t="shared" ca="1" si="53"/>
        <v>#NUM!</v>
      </c>
      <c r="T184" s="38" t="e">
        <f t="shared" ca="1" si="54"/>
        <v>#NUM!</v>
      </c>
    </row>
    <row r="185" spans="1:20" ht="20.25" customHeight="1">
      <c r="A185" s="62"/>
      <c r="B185" s="6" t="e">
        <f t="shared" ca="1" si="40"/>
        <v>#NUM!</v>
      </c>
      <c r="C185" s="117" t="e">
        <f t="shared" ca="1" si="41"/>
        <v>#NUM!</v>
      </c>
      <c r="D185" s="131" t="e">
        <f t="shared" ca="1" si="42"/>
        <v>#NUM!</v>
      </c>
      <c r="E185" s="131" t="e">
        <f t="shared" ca="1" si="43"/>
        <v>#NUM!</v>
      </c>
      <c r="F185" s="137" t="e">
        <f t="shared" ca="1" si="44"/>
        <v>#NUM!</v>
      </c>
      <c r="G185" s="132" t="e">
        <f t="shared" ca="1" si="45"/>
        <v>#NUM!</v>
      </c>
      <c r="H185" s="132" t="e">
        <f t="shared" ca="1" si="46"/>
        <v>#NUM!</v>
      </c>
      <c r="I185" s="131" t="e">
        <f t="shared" ca="1" si="47"/>
        <v>#NUM!</v>
      </c>
      <c r="J185" s="66"/>
      <c r="K185" s="11"/>
      <c r="L185" s="11"/>
      <c r="M185" s="6" t="e">
        <f t="shared" ca="1" si="48"/>
        <v>#NUM!</v>
      </c>
      <c r="N185" s="40" t="str">
        <f t="shared" si="39"/>
        <v>167기 보수</v>
      </c>
      <c r="O185" s="38" t="e">
        <f t="shared" ca="1" si="49"/>
        <v>#NUM!</v>
      </c>
      <c r="P185" s="38" t="e">
        <f t="shared" ca="1" si="50"/>
        <v>#NAME?</v>
      </c>
      <c r="Q185" s="38" t="e">
        <f t="shared" ca="1" si="51"/>
        <v>#NUM!</v>
      </c>
      <c r="R185" s="38" t="e">
        <f t="shared" ca="1" si="52"/>
        <v>#NUM!</v>
      </c>
      <c r="S185" s="38" t="e">
        <f t="shared" ca="1" si="53"/>
        <v>#NUM!</v>
      </c>
      <c r="T185" s="38" t="e">
        <f t="shared" ca="1" si="54"/>
        <v>#NUM!</v>
      </c>
    </row>
    <row r="186" spans="1:20" ht="20.25" customHeight="1">
      <c r="A186" s="62"/>
      <c r="B186" s="6" t="e">
        <f t="shared" ca="1" si="40"/>
        <v>#NUM!</v>
      </c>
      <c r="C186" s="117" t="e">
        <f t="shared" ca="1" si="41"/>
        <v>#NUM!</v>
      </c>
      <c r="D186" s="131" t="e">
        <f t="shared" ca="1" si="42"/>
        <v>#NUM!</v>
      </c>
      <c r="E186" s="131" t="e">
        <f t="shared" ca="1" si="43"/>
        <v>#NUM!</v>
      </c>
      <c r="F186" s="137" t="e">
        <f t="shared" ca="1" si="44"/>
        <v>#NUM!</v>
      </c>
      <c r="G186" s="132" t="e">
        <f t="shared" ca="1" si="45"/>
        <v>#NUM!</v>
      </c>
      <c r="H186" s="132" t="e">
        <f t="shared" ca="1" si="46"/>
        <v>#NUM!</v>
      </c>
      <c r="I186" s="131" t="e">
        <f t="shared" ca="1" si="47"/>
        <v>#NUM!</v>
      </c>
      <c r="J186" s="66"/>
      <c r="K186" s="11"/>
      <c r="L186" s="11"/>
      <c r="M186" s="6" t="e">
        <f t="shared" ca="1" si="48"/>
        <v>#NUM!</v>
      </c>
      <c r="N186" s="40" t="str">
        <f t="shared" si="39"/>
        <v>168기 보수</v>
      </c>
      <c r="O186" s="38" t="e">
        <f t="shared" ca="1" si="49"/>
        <v>#NUM!</v>
      </c>
      <c r="P186" s="38" t="e">
        <f t="shared" ca="1" si="50"/>
        <v>#NAME?</v>
      </c>
      <c r="Q186" s="38" t="e">
        <f t="shared" ca="1" si="51"/>
        <v>#NUM!</v>
      </c>
      <c r="R186" s="38" t="e">
        <f t="shared" ca="1" si="52"/>
        <v>#NUM!</v>
      </c>
      <c r="S186" s="38" t="e">
        <f t="shared" ca="1" si="53"/>
        <v>#NUM!</v>
      </c>
      <c r="T186" s="38" t="e">
        <f t="shared" ca="1" si="54"/>
        <v>#NUM!</v>
      </c>
    </row>
    <row r="187" spans="1:20" ht="20.25" customHeight="1">
      <c r="A187" s="62"/>
      <c r="B187" s="6" t="e">
        <f t="shared" ca="1" si="40"/>
        <v>#NUM!</v>
      </c>
      <c r="C187" s="117" t="e">
        <f t="shared" ca="1" si="41"/>
        <v>#NUM!</v>
      </c>
      <c r="D187" s="131" t="e">
        <f t="shared" ca="1" si="42"/>
        <v>#NUM!</v>
      </c>
      <c r="E187" s="131" t="e">
        <f t="shared" ca="1" si="43"/>
        <v>#NUM!</v>
      </c>
      <c r="F187" s="137" t="e">
        <f t="shared" ca="1" si="44"/>
        <v>#NUM!</v>
      </c>
      <c r="G187" s="132" t="e">
        <f t="shared" ca="1" si="45"/>
        <v>#NUM!</v>
      </c>
      <c r="H187" s="132" t="e">
        <f t="shared" ca="1" si="46"/>
        <v>#NUM!</v>
      </c>
      <c r="I187" s="131" t="e">
        <f t="shared" ca="1" si="47"/>
        <v>#NUM!</v>
      </c>
      <c r="J187" s="66"/>
      <c r="K187" s="11"/>
      <c r="L187" s="11"/>
      <c r="M187" s="6" t="e">
        <f t="shared" ca="1" si="48"/>
        <v>#NUM!</v>
      </c>
      <c r="N187" s="40" t="str">
        <f t="shared" si="39"/>
        <v>169기 보수</v>
      </c>
      <c r="O187" s="38" t="e">
        <f t="shared" ca="1" si="49"/>
        <v>#NUM!</v>
      </c>
      <c r="P187" s="38" t="e">
        <f t="shared" ca="1" si="50"/>
        <v>#NAME?</v>
      </c>
      <c r="Q187" s="38" t="e">
        <f t="shared" ca="1" si="51"/>
        <v>#NUM!</v>
      </c>
      <c r="R187" s="38" t="e">
        <f t="shared" ca="1" si="52"/>
        <v>#NUM!</v>
      </c>
      <c r="S187" s="38" t="e">
        <f t="shared" ca="1" si="53"/>
        <v>#NUM!</v>
      </c>
      <c r="T187" s="38" t="e">
        <f t="shared" ca="1" si="54"/>
        <v>#NUM!</v>
      </c>
    </row>
    <row r="188" spans="1:20" ht="20.25" customHeight="1">
      <c r="A188" s="62"/>
      <c r="B188" s="6" t="e">
        <f t="shared" ca="1" si="40"/>
        <v>#NUM!</v>
      </c>
      <c r="C188" s="117" t="e">
        <f t="shared" ca="1" si="41"/>
        <v>#NUM!</v>
      </c>
      <c r="D188" s="131" t="e">
        <f t="shared" ca="1" si="42"/>
        <v>#NUM!</v>
      </c>
      <c r="E188" s="131" t="e">
        <f t="shared" ca="1" si="43"/>
        <v>#NUM!</v>
      </c>
      <c r="F188" s="137" t="e">
        <f t="shared" ca="1" si="44"/>
        <v>#NUM!</v>
      </c>
      <c r="G188" s="132" t="e">
        <f t="shared" ca="1" si="45"/>
        <v>#NUM!</v>
      </c>
      <c r="H188" s="132" t="e">
        <f t="shared" ca="1" si="46"/>
        <v>#NUM!</v>
      </c>
      <c r="I188" s="131" t="e">
        <f t="shared" ca="1" si="47"/>
        <v>#NUM!</v>
      </c>
      <c r="J188" s="66"/>
      <c r="K188" s="11"/>
      <c r="L188" s="11"/>
      <c r="M188" s="6" t="e">
        <f t="shared" ca="1" si="48"/>
        <v>#NUM!</v>
      </c>
      <c r="N188" s="40" t="str">
        <f t="shared" si="39"/>
        <v>170기 보수</v>
      </c>
      <c r="O188" s="38" t="e">
        <f t="shared" ca="1" si="49"/>
        <v>#NUM!</v>
      </c>
      <c r="P188" s="38" t="e">
        <f t="shared" ca="1" si="50"/>
        <v>#NAME?</v>
      </c>
      <c r="Q188" s="38" t="e">
        <f t="shared" ca="1" si="51"/>
        <v>#NUM!</v>
      </c>
      <c r="R188" s="38" t="e">
        <f t="shared" ca="1" si="52"/>
        <v>#NUM!</v>
      </c>
      <c r="S188" s="38" t="e">
        <f t="shared" ca="1" si="53"/>
        <v>#NUM!</v>
      </c>
      <c r="T188" s="38" t="e">
        <f t="shared" ca="1" si="54"/>
        <v>#NUM!</v>
      </c>
    </row>
    <row r="189" spans="1:20" ht="20.25" customHeight="1">
      <c r="A189" s="62"/>
      <c r="B189" s="6" t="e">
        <f t="shared" ca="1" si="40"/>
        <v>#NUM!</v>
      </c>
      <c r="C189" s="117" t="e">
        <f t="shared" ca="1" si="41"/>
        <v>#NUM!</v>
      </c>
      <c r="D189" s="131" t="e">
        <f t="shared" ca="1" si="42"/>
        <v>#NUM!</v>
      </c>
      <c r="E189" s="131" t="e">
        <f t="shared" ca="1" si="43"/>
        <v>#NUM!</v>
      </c>
      <c r="F189" s="137" t="e">
        <f t="shared" ca="1" si="44"/>
        <v>#NUM!</v>
      </c>
      <c r="G189" s="132" t="e">
        <f t="shared" ca="1" si="45"/>
        <v>#NUM!</v>
      </c>
      <c r="H189" s="132" t="e">
        <f t="shared" ca="1" si="46"/>
        <v>#NUM!</v>
      </c>
      <c r="I189" s="131" t="e">
        <f t="shared" ca="1" si="47"/>
        <v>#NUM!</v>
      </c>
      <c r="J189" s="66"/>
      <c r="K189" s="11"/>
      <c r="L189" s="11"/>
      <c r="M189" s="6" t="e">
        <f t="shared" ca="1" si="48"/>
        <v>#NUM!</v>
      </c>
      <c r="N189" s="40" t="str">
        <f t="shared" si="39"/>
        <v>171기 보수</v>
      </c>
      <c r="O189" s="38" t="e">
        <f t="shared" ca="1" si="49"/>
        <v>#NUM!</v>
      </c>
      <c r="P189" s="38" t="e">
        <f t="shared" ca="1" si="50"/>
        <v>#NAME?</v>
      </c>
      <c r="Q189" s="38" t="e">
        <f t="shared" ca="1" si="51"/>
        <v>#NUM!</v>
      </c>
      <c r="R189" s="38" t="e">
        <f t="shared" ca="1" si="52"/>
        <v>#NUM!</v>
      </c>
      <c r="S189" s="38" t="e">
        <f t="shared" ca="1" si="53"/>
        <v>#NUM!</v>
      </c>
      <c r="T189" s="38" t="e">
        <f t="shared" ca="1" si="54"/>
        <v>#NUM!</v>
      </c>
    </row>
    <row r="190" spans="1:20" ht="20.25" customHeight="1">
      <c r="A190" s="62"/>
      <c r="B190" s="6" t="e">
        <f t="shared" ca="1" si="40"/>
        <v>#NUM!</v>
      </c>
      <c r="C190" s="117" t="e">
        <f t="shared" ca="1" si="41"/>
        <v>#NUM!</v>
      </c>
      <c r="D190" s="131" t="e">
        <f t="shared" ca="1" si="42"/>
        <v>#NUM!</v>
      </c>
      <c r="E190" s="131" t="e">
        <f t="shared" ca="1" si="43"/>
        <v>#NUM!</v>
      </c>
      <c r="F190" s="137" t="e">
        <f t="shared" ca="1" si="44"/>
        <v>#NUM!</v>
      </c>
      <c r="G190" s="132" t="e">
        <f t="shared" ca="1" si="45"/>
        <v>#NUM!</v>
      </c>
      <c r="H190" s="132" t="e">
        <f t="shared" ca="1" si="46"/>
        <v>#NUM!</v>
      </c>
      <c r="I190" s="131" t="e">
        <f t="shared" ca="1" si="47"/>
        <v>#NUM!</v>
      </c>
      <c r="J190" s="66"/>
      <c r="K190" s="11"/>
      <c r="L190" s="11"/>
      <c r="M190" s="6" t="e">
        <f t="shared" ca="1" si="48"/>
        <v>#NUM!</v>
      </c>
      <c r="N190" s="40" t="str">
        <f t="shared" si="39"/>
        <v>172기 보수</v>
      </c>
      <c r="O190" s="38" t="e">
        <f t="shared" ca="1" si="49"/>
        <v>#NUM!</v>
      </c>
      <c r="P190" s="38" t="e">
        <f t="shared" ca="1" si="50"/>
        <v>#NAME?</v>
      </c>
      <c r="Q190" s="38" t="e">
        <f t="shared" ca="1" si="51"/>
        <v>#NUM!</v>
      </c>
      <c r="R190" s="38" t="e">
        <f t="shared" ca="1" si="52"/>
        <v>#NUM!</v>
      </c>
      <c r="S190" s="38" t="e">
        <f t="shared" ca="1" si="53"/>
        <v>#NUM!</v>
      </c>
      <c r="T190" s="38" t="e">
        <f t="shared" ca="1" si="54"/>
        <v>#NUM!</v>
      </c>
    </row>
    <row r="191" spans="1:20" ht="20.25" customHeight="1">
      <c r="A191" s="62"/>
      <c r="B191" s="6" t="e">
        <f t="shared" ca="1" si="40"/>
        <v>#NUM!</v>
      </c>
      <c r="C191" s="117" t="e">
        <f t="shared" ca="1" si="41"/>
        <v>#NUM!</v>
      </c>
      <c r="D191" s="131" t="e">
        <f t="shared" ca="1" si="42"/>
        <v>#NUM!</v>
      </c>
      <c r="E191" s="131" t="e">
        <f t="shared" ca="1" si="43"/>
        <v>#NUM!</v>
      </c>
      <c r="F191" s="137" t="e">
        <f t="shared" ca="1" si="44"/>
        <v>#NUM!</v>
      </c>
      <c r="G191" s="132" t="e">
        <f t="shared" ca="1" si="45"/>
        <v>#NUM!</v>
      </c>
      <c r="H191" s="132" t="e">
        <f t="shared" ca="1" si="46"/>
        <v>#NUM!</v>
      </c>
      <c r="I191" s="131" t="e">
        <f t="shared" ca="1" si="47"/>
        <v>#NUM!</v>
      </c>
      <c r="J191" s="66"/>
      <c r="K191" s="11"/>
      <c r="L191" s="11"/>
      <c r="M191" s="6" t="e">
        <f t="shared" ca="1" si="48"/>
        <v>#NUM!</v>
      </c>
      <c r="N191" s="40" t="str">
        <f t="shared" si="39"/>
        <v>173기 보수</v>
      </c>
      <c r="O191" s="38" t="e">
        <f t="shared" ca="1" si="49"/>
        <v>#NUM!</v>
      </c>
      <c r="P191" s="38" t="e">
        <f t="shared" ca="1" si="50"/>
        <v>#NAME?</v>
      </c>
      <c r="Q191" s="38" t="e">
        <f t="shared" ca="1" si="51"/>
        <v>#NUM!</v>
      </c>
      <c r="R191" s="38" t="e">
        <f t="shared" ca="1" si="52"/>
        <v>#NUM!</v>
      </c>
      <c r="S191" s="38" t="e">
        <f t="shared" ca="1" si="53"/>
        <v>#NUM!</v>
      </c>
      <c r="T191" s="38" t="e">
        <f t="shared" ca="1" si="54"/>
        <v>#NUM!</v>
      </c>
    </row>
    <row r="192" spans="1:20" ht="20.25" customHeight="1">
      <c r="A192" s="62"/>
      <c r="B192" s="6" t="e">
        <f t="shared" ca="1" si="40"/>
        <v>#NUM!</v>
      </c>
      <c r="C192" s="117" t="e">
        <f t="shared" ca="1" si="41"/>
        <v>#NUM!</v>
      </c>
      <c r="D192" s="131" t="e">
        <f t="shared" ca="1" si="42"/>
        <v>#NUM!</v>
      </c>
      <c r="E192" s="131" t="e">
        <f t="shared" ca="1" si="43"/>
        <v>#NUM!</v>
      </c>
      <c r="F192" s="137" t="e">
        <f t="shared" ca="1" si="44"/>
        <v>#NUM!</v>
      </c>
      <c r="G192" s="132" t="e">
        <f t="shared" ca="1" si="45"/>
        <v>#NUM!</v>
      </c>
      <c r="H192" s="132" t="e">
        <f t="shared" ca="1" si="46"/>
        <v>#NUM!</v>
      </c>
      <c r="I192" s="131" t="e">
        <f t="shared" ca="1" si="47"/>
        <v>#NUM!</v>
      </c>
      <c r="J192" s="66"/>
      <c r="K192" s="11"/>
      <c r="L192" s="11"/>
      <c r="M192" s="6" t="e">
        <f t="shared" ca="1" si="48"/>
        <v>#NUM!</v>
      </c>
      <c r="N192" s="40" t="str">
        <f t="shared" si="39"/>
        <v>174기 보수</v>
      </c>
      <c r="O192" s="38" t="e">
        <f t="shared" ca="1" si="49"/>
        <v>#NUM!</v>
      </c>
      <c r="P192" s="38" t="e">
        <f t="shared" ca="1" si="50"/>
        <v>#NAME?</v>
      </c>
      <c r="Q192" s="38" t="e">
        <f t="shared" ca="1" si="51"/>
        <v>#NUM!</v>
      </c>
      <c r="R192" s="38" t="e">
        <f t="shared" ca="1" si="52"/>
        <v>#NUM!</v>
      </c>
      <c r="S192" s="38" t="e">
        <f t="shared" ca="1" si="53"/>
        <v>#NUM!</v>
      </c>
      <c r="T192" s="38" t="e">
        <f t="shared" ca="1" si="54"/>
        <v>#NUM!</v>
      </c>
    </row>
    <row r="193" spans="1:20" ht="20.25" customHeight="1">
      <c r="A193" s="62"/>
      <c r="B193" s="6" t="e">
        <f t="shared" ca="1" si="40"/>
        <v>#NUM!</v>
      </c>
      <c r="C193" s="117" t="e">
        <f t="shared" ca="1" si="41"/>
        <v>#NUM!</v>
      </c>
      <c r="D193" s="131" t="e">
        <f t="shared" ca="1" si="42"/>
        <v>#NUM!</v>
      </c>
      <c r="E193" s="131" t="e">
        <f t="shared" ca="1" si="43"/>
        <v>#NUM!</v>
      </c>
      <c r="F193" s="137" t="e">
        <f t="shared" ca="1" si="44"/>
        <v>#NUM!</v>
      </c>
      <c r="G193" s="132" t="e">
        <f t="shared" ca="1" si="45"/>
        <v>#NUM!</v>
      </c>
      <c r="H193" s="132" t="e">
        <f t="shared" ca="1" si="46"/>
        <v>#NUM!</v>
      </c>
      <c r="I193" s="131" t="e">
        <f t="shared" ca="1" si="47"/>
        <v>#NUM!</v>
      </c>
      <c r="J193" s="66"/>
      <c r="K193" s="11"/>
      <c r="L193" s="11"/>
      <c r="M193" s="6" t="e">
        <f t="shared" ca="1" si="48"/>
        <v>#NUM!</v>
      </c>
      <c r="N193" s="40" t="str">
        <f t="shared" si="39"/>
        <v>175기 보수</v>
      </c>
      <c r="O193" s="38" t="e">
        <f t="shared" ca="1" si="49"/>
        <v>#NUM!</v>
      </c>
      <c r="P193" s="38" t="e">
        <f t="shared" ca="1" si="50"/>
        <v>#NAME?</v>
      </c>
      <c r="Q193" s="38" t="e">
        <f t="shared" ca="1" si="51"/>
        <v>#NUM!</v>
      </c>
      <c r="R193" s="38" t="e">
        <f t="shared" ca="1" si="52"/>
        <v>#NUM!</v>
      </c>
      <c r="S193" s="38" t="e">
        <f t="shared" ca="1" si="53"/>
        <v>#NUM!</v>
      </c>
      <c r="T193" s="38" t="e">
        <f t="shared" ca="1" si="54"/>
        <v>#NUM!</v>
      </c>
    </row>
    <row r="194" spans="1:20" ht="20.25" customHeight="1">
      <c r="A194" s="62"/>
      <c r="B194" s="6" t="e">
        <f t="shared" ca="1" si="40"/>
        <v>#NUM!</v>
      </c>
      <c r="C194" s="117" t="e">
        <f t="shared" ca="1" si="41"/>
        <v>#NUM!</v>
      </c>
      <c r="D194" s="131" t="e">
        <f t="shared" ca="1" si="42"/>
        <v>#NUM!</v>
      </c>
      <c r="E194" s="131" t="e">
        <f t="shared" ca="1" si="43"/>
        <v>#NUM!</v>
      </c>
      <c r="F194" s="137" t="e">
        <f t="shared" ca="1" si="44"/>
        <v>#NUM!</v>
      </c>
      <c r="G194" s="132" t="e">
        <f t="shared" ca="1" si="45"/>
        <v>#NUM!</v>
      </c>
      <c r="H194" s="132" t="e">
        <f t="shared" ca="1" si="46"/>
        <v>#NUM!</v>
      </c>
      <c r="I194" s="131" t="e">
        <f t="shared" ca="1" si="47"/>
        <v>#NUM!</v>
      </c>
      <c r="J194" s="66"/>
      <c r="K194" s="11"/>
      <c r="L194" s="11"/>
      <c r="M194" s="6" t="e">
        <f t="shared" ca="1" si="48"/>
        <v>#NUM!</v>
      </c>
      <c r="N194" s="40" t="str">
        <f t="shared" si="39"/>
        <v>176기 보수</v>
      </c>
      <c r="O194" s="38" t="e">
        <f t="shared" ca="1" si="49"/>
        <v>#NUM!</v>
      </c>
      <c r="P194" s="38" t="e">
        <f t="shared" ca="1" si="50"/>
        <v>#NAME?</v>
      </c>
      <c r="Q194" s="38" t="e">
        <f t="shared" ca="1" si="51"/>
        <v>#NUM!</v>
      </c>
      <c r="R194" s="38" t="e">
        <f t="shared" ca="1" si="52"/>
        <v>#NUM!</v>
      </c>
      <c r="S194" s="38" t="e">
        <f t="shared" ca="1" si="53"/>
        <v>#NUM!</v>
      </c>
      <c r="T194" s="38" t="e">
        <f t="shared" ca="1" si="54"/>
        <v>#NUM!</v>
      </c>
    </row>
    <row r="195" spans="1:20" ht="20.25" customHeight="1">
      <c r="A195" s="62"/>
      <c r="B195" s="6" t="e">
        <f t="shared" ca="1" si="40"/>
        <v>#NUM!</v>
      </c>
      <c r="C195" s="117" t="e">
        <f t="shared" ca="1" si="41"/>
        <v>#NUM!</v>
      </c>
      <c r="D195" s="131" t="e">
        <f t="shared" ca="1" si="42"/>
        <v>#NUM!</v>
      </c>
      <c r="E195" s="131" t="e">
        <f t="shared" ca="1" si="43"/>
        <v>#NUM!</v>
      </c>
      <c r="F195" s="137" t="e">
        <f t="shared" ca="1" si="44"/>
        <v>#NUM!</v>
      </c>
      <c r="G195" s="132" t="e">
        <f t="shared" ca="1" si="45"/>
        <v>#NUM!</v>
      </c>
      <c r="H195" s="132" t="e">
        <f t="shared" ca="1" si="46"/>
        <v>#NUM!</v>
      </c>
      <c r="I195" s="131" t="e">
        <f t="shared" ca="1" si="47"/>
        <v>#NUM!</v>
      </c>
      <c r="J195" s="66"/>
      <c r="K195" s="11"/>
      <c r="L195" s="11"/>
      <c r="M195" s="6" t="e">
        <f t="shared" ca="1" si="48"/>
        <v>#NUM!</v>
      </c>
      <c r="N195" s="40" t="str">
        <f t="shared" si="39"/>
        <v>177기 보수</v>
      </c>
      <c r="O195" s="38" t="e">
        <f t="shared" ca="1" si="49"/>
        <v>#NUM!</v>
      </c>
      <c r="P195" s="38" t="e">
        <f t="shared" ca="1" si="50"/>
        <v>#NAME?</v>
      </c>
      <c r="Q195" s="38" t="e">
        <f t="shared" ca="1" si="51"/>
        <v>#NUM!</v>
      </c>
      <c r="R195" s="38" t="e">
        <f t="shared" ca="1" si="52"/>
        <v>#NUM!</v>
      </c>
      <c r="S195" s="38" t="e">
        <f t="shared" ca="1" si="53"/>
        <v>#NUM!</v>
      </c>
      <c r="T195" s="38" t="e">
        <f t="shared" ca="1" si="54"/>
        <v>#NUM!</v>
      </c>
    </row>
    <row r="196" spans="1:20" ht="20.25" customHeight="1">
      <c r="A196" s="62"/>
      <c r="B196" s="6" t="e">
        <f t="shared" ca="1" si="40"/>
        <v>#NUM!</v>
      </c>
      <c r="C196" s="117" t="e">
        <f t="shared" ca="1" si="41"/>
        <v>#NUM!</v>
      </c>
      <c r="D196" s="131" t="e">
        <f t="shared" ca="1" si="42"/>
        <v>#NUM!</v>
      </c>
      <c r="E196" s="131" t="e">
        <f t="shared" ca="1" si="43"/>
        <v>#NUM!</v>
      </c>
      <c r="F196" s="137" t="e">
        <f t="shared" ca="1" si="44"/>
        <v>#NUM!</v>
      </c>
      <c r="G196" s="132" t="e">
        <f t="shared" ca="1" si="45"/>
        <v>#NUM!</v>
      </c>
      <c r="H196" s="132" t="e">
        <f t="shared" ca="1" si="46"/>
        <v>#NUM!</v>
      </c>
      <c r="I196" s="131" t="e">
        <f t="shared" ca="1" si="47"/>
        <v>#NUM!</v>
      </c>
      <c r="J196" s="66"/>
      <c r="K196" s="11"/>
      <c r="L196" s="11"/>
      <c r="M196" s="6" t="e">
        <f t="shared" ca="1" si="48"/>
        <v>#NUM!</v>
      </c>
      <c r="N196" s="40" t="str">
        <f t="shared" si="39"/>
        <v>178기 보수</v>
      </c>
      <c r="O196" s="38" t="e">
        <f t="shared" ca="1" si="49"/>
        <v>#NUM!</v>
      </c>
      <c r="P196" s="38" t="e">
        <f t="shared" ca="1" si="50"/>
        <v>#NAME?</v>
      </c>
      <c r="Q196" s="38" t="e">
        <f t="shared" ca="1" si="51"/>
        <v>#NUM!</v>
      </c>
      <c r="R196" s="38" t="e">
        <f t="shared" ca="1" si="52"/>
        <v>#NUM!</v>
      </c>
      <c r="S196" s="38" t="e">
        <f t="shared" ca="1" si="53"/>
        <v>#NUM!</v>
      </c>
      <c r="T196" s="38" t="e">
        <f t="shared" ca="1" si="54"/>
        <v>#NUM!</v>
      </c>
    </row>
    <row r="197" spans="1:20" ht="20.25" customHeight="1">
      <c r="A197" s="62"/>
      <c r="B197" s="6" t="e">
        <f t="shared" ca="1" si="40"/>
        <v>#NUM!</v>
      </c>
      <c r="C197" s="117" t="e">
        <f t="shared" ca="1" si="41"/>
        <v>#NUM!</v>
      </c>
      <c r="D197" s="131" t="e">
        <f t="shared" ca="1" si="42"/>
        <v>#NUM!</v>
      </c>
      <c r="E197" s="131" t="e">
        <f t="shared" ca="1" si="43"/>
        <v>#NUM!</v>
      </c>
      <c r="F197" s="137" t="e">
        <f t="shared" ca="1" si="44"/>
        <v>#NUM!</v>
      </c>
      <c r="G197" s="132" t="e">
        <f t="shared" ca="1" si="45"/>
        <v>#NUM!</v>
      </c>
      <c r="H197" s="132" t="e">
        <f t="shared" ca="1" si="46"/>
        <v>#NUM!</v>
      </c>
      <c r="I197" s="131" t="e">
        <f t="shared" ca="1" si="47"/>
        <v>#NUM!</v>
      </c>
      <c r="J197" s="66"/>
      <c r="K197" s="11"/>
      <c r="L197" s="11"/>
      <c r="M197" s="6" t="e">
        <f t="shared" ca="1" si="48"/>
        <v>#NUM!</v>
      </c>
      <c r="N197" s="40" t="str">
        <f t="shared" si="39"/>
        <v>179기 보수</v>
      </c>
      <c r="O197" s="38" t="e">
        <f t="shared" ca="1" si="49"/>
        <v>#NUM!</v>
      </c>
      <c r="P197" s="38" t="e">
        <f t="shared" ca="1" si="50"/>
        <v>#NAME?</v>
      </c>
      <c r="Q197" s="38" t="e">
        <f t="shared" ca="1" si="51"/>
        <v>#NUM!</v>
      </c>
      <c r="R197" s="38" t="e">
        <f t="shared" ca="1" si="52"/>
        <v>#NUM!</v>
      </c>
      <c r="S197" s="38" t="e">
        <f t="shared" ca="1" si="53"/>
        <v>#NUM!</v>
      </c>
      <c r="T197" s="38" t="e">
        <f t="shared" ca="1" si="54"/>
        <v>#NUM!</v>
      </c>
    </row>
    <row r="198" spans="1:20" ht="20.25" customHeight="1">
      <c r="A198" s="62"/>
      <c r="B198" s="6" t="e">
        <f t="shared" ca="1" si="40"/>
        <v>#NUM!</v>
      </c>
      <c r="C198" s="117" t="e">
        <f t="shared" ca="1" si="41"/>
        <v>#NUM!</v>
      </c>
      <c r="D198" s="131" t="e">
        <f t="shared" ca="1" si="42"/>
        <v>#NUM!</v>
      </c>
      <c r="E198" s="131" t="e">
        <f t="shared" ca="1" si="43"/>
        <v>#NUM!</v>
      </c>
      <c r="F198" s="137" t="e">
        <f t="shared" ca="1" si="44"/>
        <v>#NUM!</v>
      </c>
      <c r="G198" s="132" t="e">
        <f t="shared" ca="1" si="45"/>
        <v>#NUM!</v>
      </c>
      <c r="H198" s="132" t="e">
        <f t="shared" ca="1" si="46"/>
        <v>#NUM!</v>
      </c>
      <c r="I198" s="131" t="e">
        <f t="shared" ca="1" si="47"/>
        <v>#NUM!</v>
      </c>
      <c r="J198" s="66"/>
      <c r="K198" s="11"/>
      <c r="L198" s="11"/>
      <c r="M198" s="6" t="e">
        <f t="shared" ca="1" si="48"/>
        <v>#NUM!</v>
      </c>
      <c r="N198" s="40" t="str">
        <f t="shared" si="39"/>
        <v>180기 보수</v>
      </c>
      <c r="O198" s="38" t="e">
        <f t="shared" ca="1" si="49"/>
        <v>#NUM!</v>
      </c>
      <c r="P198" s="38" t="e">
        <f t="shared" ca="1" si="50"/>
        <v>#NAME?</v>
      </c>
      <c r="Q198" s="38" t="e">
        <f t="shared" ca="1" si="51"/>
        <v>#NUM!</v>
      </c>
      <c r="R198" s="38" t="e">
        <f t="shared" ca="1" si="52"/>
        <v>#NUM!</v>
      </c>
      <c r="S198" s="38" t="e">
        <f t="shared" ca="1" si="53"/>
        <v>#NUM!</v>
      </c>
      <c r="T198" s="38" t="e">
        <f t="shared" ca="1" si="54"/>
        <v>#NUM!</v>
      </c>
    </row>
    <row r="199" spans="1:20" ht="20.25" customHeight="1">
      <c r="A199" s="62"/>
      <c r="B199" s="6" t="e">
        <f t="shared" ca="1" si="40"/>
        <v>#NUM!</v>
      </c>
      <c r="C199" s="117" t="e">
        <f t="shared" ca="1" si="41"/>
        <v>#NUM!</v>
      </c>
      <c r="D199" s="131" t="e">
        <f t="shared" ca="1" si="42"/>
        <v>#NUM!</v>
      </c>
      <c r="E199" s="131" t="e">
        <f t="shared" ca="1" si="43"/>
        <v>#NUM!</v>
      </c>
      <c r="F199" s="137" t="e">
        <f t="shared" ca="1" si="44"/>
        <v>#NUM!</v>
      </c>
      <c r="G199" s="132" t="e">
        <f t="shared" ca="1" si="45"/>
        <v>#NUM!</v>
      </c>
      <c r="H199" s="132" t="e">
        <f t="shared" ca="1" si="46"/>
        <v>#NUM!</v>
      </c>
      <c r="I199" s="131" t="e">
        <f t="shared" ca="1" si="47"/>
        <v>#NUM!</v>
      </c>
      <c r="J199" s="66"/>
      <c r="K199" s="11"/>
      <c r="L199" s="11"/>
      <c r="M199" s="6" t="e">
        <f t="shared" ca="1" si="48"/>
        <v>#NUM!</v>
      </c>
      <c r="N199" s="40" t="str">
        <f t="shared" si="39"/>
        <v>181기 보수</v>
      </c>
      <c r="O199" s="38" t="e">
        <f t="shared" ca="1" si="49"/>
        <v>#NUM!</v>
      </c>
      <c r="P199" s="38" t="e">
        <f t="shared" ca="1" si="50"/>
        <v>#NAME?</v>
      </c>
      <c r="Q199" s="38" t="e">
        <f t="shared" ca="1" si="51"/>
        <v>#NUM!</v>
      </c>
      <c r="R199" s="38" t="e">
        <f t="shared" ca="1" si="52"/>
        <v>#NUM!</v>
      </c>
      <c r="S199" s="38" t="e">
        <f t="shared" ca="1" si="53"/>
        <v>#NUM!</v>
      </c>
      <c r="T199" s="38" t="e">
        <f t="shared" ca="1" si="54"/>
        <v>#NUM!</v>
      </c>
    </row>
    <row r="200" spans="1:20" ht="20.25" customHeight="1">
      <c r="A200" s="62"/>
      <c r="B200" s="6" t="e">
        <f t="shared" ca="1" si="40"/>
        <v>#NUM!</v>
      </c>
      <c r="C200" s="117" t="e">
        <f t="shared" ca="1" si="41"/>
        <v>#NUM!</v>
      </c>
      <c r="D200" s="131" t="e">
        <f t="shared" ca="1" si="42"/>
        <v>#NUM!</v>
      </c>
      <c r="E200" s="131" t="e">
        <f t="shared" ca="1" si="43"/>
        <v>#NUM!</v>
      </c>
      <c r="F200" s="137" t="e">
        <f t="shared" ca="1" si="44"/>
        <v>#NUM!</v>
      </c>
      <c r="G200" s="132" t="e">
        <f t="shared" ca="1" si="45"/>
        <v>#NUM!</v>
      </c>
      <c r="H200" s="132" t="e">
        <f t="shared" ca="1" si="46"/>
        <v>#NUM!</v>
      </c>
      <c r="I200" s="131" t="e">
        <f t="shared" ca="1" si="47"/>
        <v>#NUM!</v>
      </c>
      <c r="J200" s="66"/>
      <c r="K200" s="11"/>
      <c r="L200" s="11"/>
      <c r="M200" s="6" t="e">
        <f t="shared" ca="1" si="48"/>
        <v>#NUM!</v>
      </c>
      <c r="N200" s="40" t="str">
        <f t="shared" si="39"/>
        <v>182기 보수</v>
      </c>
      <c r="O200" s="38" t="e">
        <f t="shared" ca="1" si="49"/>
        <v>#NUM!</v>
      </c>
      <c r="P200" s="38" t="e">
        <f t="shared" ca="1" si="50"/>
        <v>#NAME?</v>
      </c>
      <c r="Q200" s="38" t="e">
        <f t="shared" ca="1" si="51"/>
        <v>#NUM!</v>
      </c>
      <c r="R200" s="38" t="e">
        <f t="shared" ca="1" si="52"/>
        <v>#NUM!</v>
      </c>
      <c r="S200" s="38" t="e">
        <f t="shared" ca="1" si="53"/>
        <v>#NUM!</v>
      </c>
      <c r="T200" s="38" t="e">
        <f t="shared" ca="1" si="54"/>
        <v>#NUM!</v>
      </c>
    </row>
    <row r="201" spans="1:20" ht="20.25" customHeight="1">
      <c r="A201" s="62"/>
      <c r="B201" s="6" t="e">
        <f t="shared" ca="1" si="40"/>
        <v>#NUM!</v>
      </c>
      <c r="C201" s="117" t="e">
        <f t="shared" ca="1" si="41"/>
        <v>#NUM!</v>
      </c>
      <c r="D201" s="131" t="e">
        <f t="shared" ca="1" si="42"/>
        <v>#NUM!</v>
      </c>
      <c r="E201" s="131" t="e">
        <f t="shared" ca="1" si="43"/>
        <v>#NUM!</v>
      </c>
      <c r="F201" s="137" t="e">
        <f t="shared" ca="1" si="44"/>
        <v>#NUM!</v>
      </c>
      <c r="G201" s="132" t="e">
        <f t="shared" ca="1" si="45"/>
        <v>#NUM!</v>
      </c>
      <c r="H201" s="132" t="e">
        <f t="shared" ca="1" si="46"/>
        <v>#NUM!</v>
      </c>
      <c r="I201" s="131" t="e">
        <f t="shared" ca="1" si="47"/>
        <v>#NUM!</v>
      </c>
      <c r="J201" s="66"/>
      <c r="K201" s="11"/>
      <c r="L201" s="11"/>
      <c r="M201" s="6" t="e">
        <f t="shared" ca="1" si="48"/>
        <v>#NUM!</v>
      </c>
      <c r="N201" s="40" t="str">
        <f t="shared" si="39"/>
        <v>183기 보수</v>
      </c>
      <c r="O201" s="38" t="e">
        <f t="shared" ca="1" si="49"/>
        <v>#NUM!</v>
      </c>
      <c r="P201" s="38" t="e">
        <f t="shared" ca="1" si="50"/>
        <v>#NAME?</v>
      </c>
      <c r="Q201" s="38" t="e">
        <f t="shared" ca="1" si="51"/>
        <v>#NUM!</v>
      </c>
      <c r="R201" s="38" t="e">
        <f t="shared" ca="1" si="52"/>
        <v>#NUM!</v>
      </c>
      <c r="S201" s="38" t="e">
        <f t="shared" ca="1" si="53"/>
        <v>#NUM!</v>
      </c>
      <c r="T201" s="38" t="e">
        <f t="shared" ca="1" si="54"/>
        <v>#NUM!</v>
      </c>
    </row>
    <row r="202" spans="1:20" ht="20.25" customHeight="1">
      <c r="A202" s="62"/>
      <c r="B202" s="6" t="e">
        <f t="shared" ca="1" si="40"/>
        <v>#NUM!</v>
      </c>
      <c r="C202" s="117" t="e">
        <f t="shared" ca="1" si="41"/>
        <v>#NUM!</v>
      </c>
      <c r="D202" s="131" t="e">
        <f t="shared" ca="1" si="42"/>
        <v>#NUM!</v>
      </c>
      <c r="E202" s="131" t="e">
        <f t="shared" ca="1" si="43"/>
        <v>#NUM!</v>
      </c>
      <c r="F202" s="137" t="e">
        <f t="shared" ca="1" si="44"/>
        <v>#NUM!</v>
      </c>
      <c r="G202" s="132" t="e">
        <f t="shared" ca="1" si="45"/>
        <v>#NUM!</v>
      </c>
      <c r="H202" s="132" t="e">
        <f t="shared" ca="1" si="46"/>
        <v>#NUM!</v>
      </c>
      <c r="I202" s="131" t="e">
        <f t="shared" ca="1" si="47"/>
        <v>#NUM!</v>
      </c>
      <c r="J202" s="66"/>
      <c r="K202" s="11"/>
      <c r="L202" s="11"/>
      <c r="M202" s="6" t="e">
        <f t="shared" ca="1" si="48"/>
        <v>#NUM!</v>
      </c>
      <c r="N202" s="40" t="str">
        <f t="shared" si="39"/>
        <v>184기 보수</v>
      </c>
      <c r="O202" s="38" t="e">
        <f t="shared" ca="1" si="49"/>
        <v>#NUM!</v>
      </c>
      <c r="P202" s="38" t="e">
        <f t="shared" ca="1" si="50"/>
        <v>#NAME?</v>
      </c>
      <c r="Q202" s="38" t="e">
        <f t="shared" ca="1" si="51"/>
        <v>#NUM!</v>
      </c>
      <c r="R202" s="38" t="e">
        <f t="shared" ca="1" si="52"/>
        <v>#NUM!</v>
      </c>
      <c r="S202" s="38" t="e">
        <f t="shared" ca="1" si="53"/>
        <v>#NUM!</v>
      </c>
      <c r="T202" s="38" t="e">
        <f t="shared" ca="1" si="54"/>
        <v>#NUM!</v>
      </c>
    </row>
    <row r="203" spans="1:20" ht="20.25" customHeight="1">
      <c r="A203" s="62"/>
      <c r="B203" s="6" t="e">
        <f t="shared" ca="1" si="40"/>
        <v>#NUM!</v>
      </c>
      <c r="C203" s="117" t="e">
        <f t="shared" ca="1" si="41"/>
        <v>#NUM!</v>
      </c>
      <c r="D203" s="131" t="e">
        <f t="shared" ca="1" si="42"/>
        <v>#NUM!</v>
      </c>
      <c r="E203" s="131" t="e">
        <f t="shared" ca="1" si="43"/>
        <v>#NUM!</v>
      </c>
      <c r="F203" s="137" t="e">
        <f t="shared" ca="1" si="44"/>
        <v>#NUM!</v>
      </c>
      <c r="G203" s="132" t="e">
        <f t="shared" ca="1" si="45"/>
        <v>#NUM!</v>
      </c>
      <c r="H203" s="132" t="e">
        <f t="shared" ca="1" si="46"/>
        <v>#NUM!</v>
      </c>
      <c r="I203" s="131" t="e">
        <f t="shared" ca="1" si="47"/>
        <v>#NUM!</v>
      </c>
      <c r="J203" s="66"/>
      <c r="K203" s="11"/>
      <c r="L203" s="11"/>
      <c r="M203" s="6" t="e">
        <f t="shared" ca="1" si="48"/>
        <v>#NUM!</v>
      </c>
      <c r="N203" s="40" t="str">
        <f t="shared" si="39"/>
        <v>185기 보수</v>
      </c>
      <c r="O203" s="38" t="e">
        <f t="shared" ca="1" si="49"/>
        <v>#NUM!</v>
      </c>
      <c r="P203" s="38" t="e">
        <f t="shared" ca="1" si="50"/>
        <v>#NAME?</v>
      </c>
      <c r="Q203" s="38" t="e">
        <f t="shared" ca="1" si="51"/>
        <v>#NUM!</v>
      </c>
      <c r="R203" s="38" t="e">
        <f t="shared" ca="1" si="52"/>
        <v>#NUM!</v>
      </c>
      <c r="S203" s="38" t="e">
        <f t="shared" ca="1" si="53"/>
        <v>#NUM!</v>
      </c>
      <c r="T203" s="38" t="e">
        <f t="shared" ca="1" si="54"/>
        <v>#NUM!</v>
      </c>
    </row>
    <row r="204" spans="1:20" ht="20.25" customHeight="1">
      <c r="A204" s="62"/>
      <c r="B204" s="6" t="e">
        <f t="shared" ca="1" si="40"/>
        <v>#NUM!</v>
      </c>
      <c r="C204" s="117" t="e">
        <f t="shared" ca="1" si="41"/>
        <v>#NUM!</v>
      </c>
      <c r="D204" s="131" t="e">
        <f t="shared" ca="1" si="42"/>
        <v>#NUM!</v>
      </c>
      <c r="E204" s="131" t="e">
        <f t="shared" ca="1" si="43"/>
        <v>#NUM!</v>
      </c>
      <c r="F204" s="137" t="e">
        <f t="shared" ca="1" si="44"/>
        <v>#NUM!</v>
      </c>
      <c r="G204" s="132" t="e">
        <f t="shared" ca="1" si="45"/>
        <v>#NUM!</v>
      </c>
      <c r="H204" s="132" t="e">
        <f t="shared" ca="1" si="46"/>
        <v>#NUM!</v>
      </c>
      <c r="I204" s="131" t="e">
        <f t="shared" ca="1" si="47"/>
        <v>#NUM!</v>
      </c>
      <c r="J204" s="66"/>
      <c r="K204" s="11"/>
      <c r="L204" s="11"/>
      <c r="M204" s="6" t="e">
        <f t="shared" ca="1" si="48"/>
        <v>#NUM!</v>
      </c>
      <c r="N204" s="40" t="str">
        <f t="shared" si="39"/>
        <v>186기 보수</v>
      </c>
      <c r="O204" s="38" t="e">
        <f t="shared" ca="1" si="49"/>
        <v>#NUM!</v>
      </c>
      <c r="P204" s="38" t="e">
        <f t="shared" ca="1" si="50"/>
        <v>#NAME?</v>
      </c>
      <c r="Q204" s="38" t="e">
        <f t="shared" ca="1" si="51"/>
        <v>#NUM!</v>
      </c>
      <c r="R204" s="38" t="e">
        <f t="shared" ca="1" si="52"/>
        <v>#NUM!</v>
      </c>
      <c r="S204" s="38" t="e">
        <f t="shared" ca="1" si="53"/>
        <v>#NUM!</v>
      </c>
      <c r="T204" s="38" t="e">
        <f t="shared" ca="1" si="54"/>
        <v>#NUM!</v>
      </c>
    </row>
    <row r="205" spans="1:20" ht="20.25" customHeight="1">
      <c r="A205" s="62"/>
      <c r="B205" s="6" t="e">
        <f t="shared" ca="1" si="40"/>
        <v>#NUM!</v>
      </c>
      <c r="C205" s="117" t="e">
        <f t="shared" ca="1" si="41"/>
        <v>#NUM!</v>
      </c>
      <c r="D205" s="131" t="e">
        <f t="shared" ca="1" si="42"/>
        <v>#NUM!</v>
      </c>
      <c r="E205" s="131" t="e">
        <f t="shared" ca="1" si="43"/>
        <v>#NUM!</v>
      </c>
      <c r="F205" s="137" t="e">
        <f t="shared" ca="1" si="44"/>
        <v>#NUM!</v>
      </c>
      <c r="G205" s="132" t="e">
        <f t="shared" ca="1" si="45"/>
        <v>#NUM!</v>
      </c>
      <c r="H205" s="132" t="e">
        <f t="shared" ca="1" si="46"/>
        <v>#NUM!</v>
      </c>
      <c r="I205" s="131" t="e">
        <f t="shared" ca="1" si="47"/>
        <v>#NUM!</v>
      </c>
      <c r="J205" s="66"/>
      <c r="K205" s="11"/>
      <c r="L205" s="11"/>
      <c r="M205" s="6" t="e">
        <f t="shared" ca="1" si="48"/>
        <v>#NUM!</v>
      </c>
      <c r="N205" s="40" t="str">
        <f t="shared" si="39"/>
        <v>187기 보수</v>
      </c>
      <c r="O205" s="38" t="e">
        <f t="shared" ca="1" si="49"/>
        <v>#NUM!</v>
      </c>
      <c r="P205" s="38" t="e">
        <f t="shared" ca="1" si="50"/>
        <v>#NAME?</v>
      </c>
      <c r="Q205" s="38" t="e">
        <f t="shared" ca="1" si="51"/>
        <v>#NUM!</v>
      </c>
      <c r="R205" s="38" t="e">
        <f t="shared" ca="1" si="52"/>
        <v>#NUM!</v>
      </c>
      <c r="S205" s="38" t="e">
        <f t="shared" ca="1" si="53"/>
        <v>#NUM!</v>
      </c>
      <c r="T205" s="38" t="e">
        <f t="shared" ca="1" si="54"/>
        <v>#NUM!</v>
      </c>
    </row>
    <row r="206" spans="1:20" ht="20.25" customHeight="1">
      <c r="A206" s="62"/>
      <c r="B206" s="6" t="e">
        <f t="shared" ca="1" si="40"/>
        <v>#NUM!</v>
      </c>
      <c r="C206" s="117" t="e">
        <f t="shared" ca="1" si="41"/>
        <v>#NUM!</v>
      </c>
      <c r="D206" s="131" t="e">
        <f t="shared" ca="1" si="42"/>
        <v>#NUM!</v>
      </c>
      <c r="E206" s="131" t="e">
        <f t="shared" ca="1" si="43"/>
        <v>#NUM!</v>
      </c>
      <c r="F206" s="137" t="e">
        <f t="shared" ca="1" si="44"/>
        <v>#NUM!</v>
      </c>
      <c r="G206" s="132" t="e">
        <f t="shared" ca="1" si="45"/>
        <v>#NUM!</v>
      </c>
      <c r="H206" s="132" t="e">
        <f t="shared" ca="1" si="46"/>
        <v>#NUM!</v>
      </c>
      <c r="I206" s="131" t="e">
        <f t="shared" ca="1" si="47"/>
        <v>#NUM!</v>
      </c>
      <c r="J206" s="66"/>
      <c r="K206" s="11"/>
      <c r="L206" s="11"/>
      <c r="M206" s="6" t="e">
        <f t="shared" ca="1" si="48"/>
        <v>#NUM!</v>
      </c>
      <c r="N206" s="40" t="str">
        <f t="shared" si="39"/>
        <v>188기 보수</v>
      </c>
      <c r="O206" s="38" t="e">
        <f t="shared" ca="1" si="49"/>
        <v>#NUM!</v>
      </c>
      <c r="P206" s="38" t="e">
        <f t="shared" ca="1" si="50"/>
        <v>#NAME?</v>
      </c>
      <c r="Q206" s="38" t="e">
        <f t="shared" ca="1" si="51"/>
        <v>#NUM!</v>
      </c>
      <c r="R206" s="38" t="e">
        <f t="shared" ca="1" si="52"/>
        <v>#NUM!</v>
      </c>
      <c r="S206" s="38" t="e">
        <f t="shared" ca="1" si="53"/>
        <v>#NUM!</v>
      </c>
      <c r="T206" s="38" t="e">
        <f t="shared" ca="1" si="54"/>
        <v>#NUM!</v>
      </c>
    </row>
    <row r="207" spans="1:20" ht="20.25" customHeight="1">
      <c r="A207" s="62"/>
      <c r="B207" s="6" t="e">
        <f t="shared" ca="1" si="40"/>
        <v>#NUM!</v>
      </c>
      <c r="C207" s="117" t="e">
        <f t="shared" ca="1" si="41"/>
        <v>#NUM!</v>
      </c>
      <c r="D207" s="131" t="e">
        <f t="shared" ca="1" si="42"/>
        <v>#NUM!</v>
      </c>
      <c r="E207" s="131" t="e">
        <f t="shared" ca="1" si="43"/>
        <v>#NUM!</v>
      </c>
      <c r="F207" s="137" t="e">
        <f t="shared" ca="1" si="44"/>
        <v>#NUM!</v>
      </c>
      <c r="G207" s="132" t="e">
        <f t="shared" ca="1" si="45"/>
        <v>#NUM!</v>
      </c>
      <c r="H207" s="132" t="e">
        <f t="shared" ca="1" si="46"/>
        <v>#NUM!</v>
      </c>
      <c r="I207" s="131" t="e">
        <f t="shared" ca="1" si="47"/>
        <v>#NUM!</v>
      </c>
      <c r="J207" s="66"/>
      <c r="K207" s="11"/>
      <c r="L207" s="11"/>
      <c r="M207" s="6" t="e">
        <f t="shared" ca="1" si="48"/>
        <v>#NUM!</v>
      </c>
      <c r="N207" s="40" t="str">
        <f t="shared" si="39"/>
        <v>189기 보수</v>
      </c>
      <c r="O207" s="38" t="e">
        <f t="shared" ca="1" si="49"/>
        <v>#NUM!</v>
      </c>
      <c r="P207" s="38" t="e">
        <f t="shared" ca="1" si="50"/>
        <v>#NAME?</v>
      </c>
      <c r="Q207" s="38" t="e">
        <f t="shared" ca="1" si="51"/>
        <v>#NUM!</v>
      </c>
      <c r="R207" s="38" t="e">
        <f t="shared" ca="1" si="52"/>
        <v>#NUM!</v>
      </c>
      <c r="S207" s="38" t="e">
        <f t="shared" ca="1" si="53"/>
        <v>#NUM!</v>
      </c>
      <c r="T207" s="38" t="e">
        <f t="shared" ca="1" si="54"/>
        <v>#NUM!</v>
      </c>
    </row>
    <row r="208" spans="1:20" ht="20.25" customHeight="1">
      <c r="A208" s="62"/>
      <c r="B208" s="6" t="e">
        <f t="shared" ca="1" si="40"/>
        <v>#NUM!</v>
      </c>
      <c r="C208" s="117" t="e">
        <f t="shared" ca="1" si="41"/>
        <v>#NUM!</v>
      </c>
      <c r="D208" s="131" t="e">
        <f t="shared" ca="1" si="42"/>
        <v>#NUM!</v>
      </c>
      <c r="E208" s="131" t="e">
        <f t="shared" ca="1" si="43"/>
        <v>#NUM!</v>
      </c>
      <c r="F208" s="137" t="e">
        <f t="shared" ca="1" si="44"/>
        <v>#NUM!</v>
      </c>
      <c r="G208" s="132" t="e">
        <f t="shared" ca="1" si="45"/>
        <v>#NUM!</v>
      </c>
      <c r="H208" s="132" t="e">
        <f t="shared" ca="1" si="46"/>
        <v>#NUM!</v>
      </c>
      <c r="I208" s="131" t="e">
        <f t="shared" ca="1" si="47"/>
        <v>#NUM!</v>
      </c>
      <c r="J208" s="66"/>
      <c r="K208" s="11"/>
      <c r="L208" s="11"/>
      <c r="M208" s="6" t="e">
        <f t="shared" ca="1" si="48"/>
        <v>#NUM!</v>
      </c>
      <c r="N208" s="40" t="str">
        <f t="shared" si="39"/>
        <v>190기 보수</v>
      </c>
      <c r="O208" s="38" t="e">
        <f t="shared" ca="1" si="49"/>
        <v>#NUM!</v>
      </c>
      <c r="P208" s="38" t="e">
        <f t="shared" ca="1" si="50"/>
        <v>#NAME?</v>
      </c>
      <c r="Q208" s="38" t="e">
        <f t="shared" ca="1" si="51"/>
        <v>#NUM!</v>
      </c>
      <c r="R208" s="38" t="e">
        <f t="shared" ca="1" si="52"/>
        <v>#NUM!</v>
      </c>
      <c r="S208" s="38" t="e">
        <f t="shared" ca="1" si="53"/>
        <v>#NUM!</v>
      </c>
      <c r="T208" s="38" t="e">
        <f t="shared" ca="1" si="54"/>
        <v>#NUM!</v>
      </c>
    </row>
    <row r="209" spans="1:20" ht="20.25" customHeight="1">
      <c r="A209" s="62"/>
      <c r="B209" s="6" t="e">
        <f t="shared" ca="1" si="40"/>
        <v>#NUM!</v>
      </c>
      <c r="C209" s="117" t="e">
        <f t="shared" ca="1" si="41"/>
        <v>#NUM!</v>
      </c>
      <c r="D209" s="131" t="e">
        <f t="shared" ca="1" si="42"/>
        <v>#NUM!</v>
      </c>
      <c r="E209" s="131" t="e">
        <f t="shared" ca="1" si="43"/>
        <v>#NUM!</v>
      </c>
      <c r="F209" s="137" t="e">
        <f t="shared" ca="1" si="44"/>
        <v>#NUM!</v>
      </c>
      <c r="G209" s="132" t="e">
        <f t="shared" ca="1" si="45"/>
        <v>#NUM!</v>
      </c>
      <c r="H209" s="132" t="e">
        <f t="shared" ca="1" si="46"/>
        <v>#NUM!</v>
      </c>
      <c r="I209" s="131" t="e">
        <f t="shared" ca="1" si="47"/>
        <v>#NUM!</v>
      </c>
      <c r="J209" s="66"/>
      <c r="K209" s="11"/>
      <c r="L209" s="11"/>
      <c r="M209" s="6" t="e">
        <f t="shared" ca="1" si="48"/>
        <v>#NUM!</v>
      </c>
      <c r="N209" s="40" t="str">
        <f t="shared" si="39"/>
        <v>191기 보수</v>
      </c>
      <c r="O209" s="38" t="e">
        <f t="shared" ca="1" si="49"/>
        <v>#NUM!</v>
      </c>
      <c r="P209" s="38" t="e">
        <f t="shared" ca="1" si="50"/>
        <v>#NAME?</v>
      </c>
      <c r="Q209" s="38" t="e">
        <f t="shared" ca="1" si="51"/>
        <v>#NUM!</v>
      </c>
      <c r="R209" s="38" t="e">
        <f t="shared" ca="1" si="52"/>
        <v>#NUM!</v>
      </c>
      <c r="S209" s="38" t="e">
        <f t="shared" ca="1" si="53"/>
        <v>#NUM!</v>
      </c>
      <c r="T209" s="38" t="e">
        <f t="shared" ca="1" si="54"/>
        <v>#NUM!</v>
      </c>
    </row>
    <row r="210" spans="1:20" ht="20.25" customHeight="1">
      <c r="A210" s="62"/>
      <c r="B210" s="6" t="e">
        <f t="shared" ca="1" si="40"/>
        <v>#NUM!</v>
      </c>
      <c r="C210" s="117" t="e">
        <f t="shared" ca="1" si="41"/>
        <v>#NUM!</v>
      </c>
      <c r="D210" s="131" t="e">
        <f t="shared" ca="1" si="42"/>
        <v>#NUM!</v>
      </c>
      <c r="E210" s="131" t="e">
        <f t="shared" ca="1" si="43"/>
        <v>#NUM!</v>
      </c>
      <c r="F210" s="137" t="e">
        <f t="shared" ca="1" si="44"/>
        <v>#NUM!</v>
      </c>
      <c r="G210" s="132" t="e">
        <f t="shared" ca="1" si="45"/>
        <v>#NUM!</v>
      </c>
      <c r="H210" s="132" t="e">
        <f t="shared" ca="1" si="46"/>
        <v>#NUM!</v>
      </c>
      <c r="I210" s="131" t="e">
        <f t="shared" ca="1" si="47"/>
        <v>#NUM!</v>
      </c>
      <c r="J210" s="66"/>
      <c r="K210" s="11"/>
      <c r="L210" s="11"/>
      <c r="M210" s="6" t="e">
        <f t="shared" ca="1" si="48"/>
        <v>#NUM!</v>
      </c>
      <c r="N210" s="40" t="str">
        <f t="shared" si="39"/>
        <v>192기 보수</v>
      </c>
      <c r="O210" s="38" t="e">
        <f t="shared" ca="1" si="49"/>
        <v>#NUM!</v>
      </c>
      <c r="P210" s="38" t="e">
        <f t="shared" ca="1" si="50"/>
        <v>#NAME?</v>
      </c>
      <c r="Q210" s="38" t="e">
        <f t="shared" ca="1" si="51"/>
        <v>#NUM!</v>
      </c>
      <c r="R210" s="38" t="e">
        <f t="shared" ca="1" si="52"/>
        <v>#NUM!</v>
      </c>
      <c r="S210" s="38" t="e">
        <f t="shared" ca="1" si="53"/>
        <v>#NUM!</v>
      </c>
      <c r="T210" s="38" t="e">
        <f t="shared" ca="1" si="54"/>
        <v>#NUM!</v>
      </c>
    </row>
    <row r="211" spans="1:20" ht="20.25" customHeight="1">
      <c r="A211" s="62"/>
      <c r="B211" s="6" t="e">
        <f t="shared" ca="1" si="40"/>
        <v>#NUM!</v>
      </c>
      <c r="C211" s="117" t="e">
        <f t="shared" ca="1" si="41"/>
        <v>#NUM!</v>
      </c>
      <c r="D211" s="131" t="e">
        <f t="shared" ca="1" si="42"/>
        <v>#NUM!</v>
      </c>
      <c r="E211" s="131" t="e">
        <f t="shared" ca="1" si="43"/>
        <v>#NUM!</v>
      </c>
      <c r="F211" s="137" t="e">
        <f t="shared" ca="1" si="44"/>
        <v>#NUM!</v>
      </c>
      <c r="G211" s="132" t="e">
        <f t="shared" ca="1" si="45"/>
        <v>#NUM!</v>
      </c>
      <c r="H211" s="132" t="e">
        <f t="shared" ca="1" si="46"/>
        <v>#NUM!</v>
      </c>
      <c r="I211" s="131" t="e">
        <f t="shared" ca="1" si="47"/>
        <v>#NUM!</v>
      </c>
      <c r="J211" s="66"/>
      <c r="K211" s="11"/>
      <c r="L211" s="11"/>
      <c r="M211" s="6" t="e">
        <f t="shared" ca="1" si="48"/>
        <v>#NUM!</v>
      </c>
      <c r="N211" s="40" t="str">
        <f t="shared" si="39"/>
        <v>193기 보수</v>
      </c>
      <c r="O211" s="38" t="e">
        <f t="shared" ca="1" si="49"/>
        <v>#NUM!</v>
      </c>
      <c r="P211" s="38" t="e">
        <f t="shared" ca="1" si="50"/>
        <v>#NAME?</v>
      </c>
      <c r="Q211" s="38" t="e">
        <f t="shared" ca="1" si="51"/>
        <v>#NUM!</v>
      </c>
      <c r="R211" s="38" t="e">
        <f t="shared" ca="1" si="52"/>
        <v>#NUM!</v>
      </c>
      <c r="S211" s="38" t="e">
        <f t="shared" ca="1" si="53"/>
        <v>#NUM!</v>
      </c>
      <c r="T211" s="38" t="e">
        <f t="shared" ca="1" si="54"/>
        <v>#NUM!</v>
      </c>
    </row>
    <row r="212" spans="1:20" ht="20.25" customHeight="1">
      <c r="A212" s="62"/>
      <c r="B212" s="6" t="e">
        <f t="shared" ca="1" si="40"/>
        <v>#NUM!</v>
      </c>
      <c r="C212" s="117" t="e">
        <f t="shared" ca="1" si="41"/>
        <v>#NUM!</v>
      </c>
      <c r="D212" s="131" t="e">
        <f t="shared" ca="1" si="42"/>
        <v>#NUM!</v>
      </c>
      <c r="E212" s="131" t="e">
        <f t="shared" ca="1" si="43"/>
        <v>#NUM!</v>
      </c>
      <c r="F212" s="137" t="e">
        <f t="shared" ca="1" si="44"/>
        <v>#NUM!</v>
      </c>
      <c r="G212" s="132" t="e">
        <f t="shared" ca="1" si="45"/>
        <v>#NUM!</v>
      </c>
      <c r="H212" s="132" t="e">
        <f t="shared" ca="1" si="46"/>
        <v>#NUM!</v>
      </c>
      <c r="I212" s="131" t="e">
        <f t="shared" ca="1" si="47"/>
        <v>#NUM!</v>
      </c>
      <c r="J212" s="66"/>
      <c r="K212" s="11"/>
      <c r="L212" s="11"/>
      <c r="M212" s="6" t="e">
        <f t="shared" ca="1" si="48"/>
        <v>#NUM!</v>
      </c>
      <c r="N212" s="40" t="str">
        <f t="shared" ref="N212:N275" si="55">ROW()-18&amp;"기 보수"</f>
        <v>194기 보수</v>
      </c>
      <c r="O212" s="38" t="e">
        <f t="shared" ca="1" si="49"/>
        <v>#NUM!</v>
      </c>
      <c r="P212" s="38" t="e">
        <f t="shared" ca="1" si="50"/>
        <v>#NAME?</v>
      </c>
      <c r="Q212" s="38" t="e">
        <f t="shared" ca="1" si="51"/>
        <v>#NUM!</v>
      </c>
      <c r="R212" s="38" t="e">
        <f t="shared" ca="1" si="52"/>
        <v>#NUM!</v>
      </c>
      <c r="S212" s="38" t="e">
        <f t="shared" ca="1" si="53"/>
        <v>#NUM!</v>
      </c>
      <c r="T212" s="38" t="e">
        <f t="shared" ca="1" si="54"/>
        <v>#NUM!</v>
      </c>
    </row>
    <row r="213" spans="1:20" ht="20.25" customHeight="1">
      <c r="A213" s="62"/>
      <c r="B213" s="6" t="e">
        <f t="shared" ref="B213:B276" ca="1" si="56">IF(B212&lt;$C$8,COUPNCD(B212,$C$8,IF($C$10=O$9,1,IF($C$10=O$8,2,4))),"")</f>
        <v>#NUM!</v>
      </c>
      <c r="C213" s="117" t="e">
        <f t="shared" ref="C213:C276" ca="1" si="57">IF(B213=$C$8,$E$9,"")</f>
        <v>#NUM!</v>
      </c>
      <c r="D213" s="131" t="e">
        <f t="shared" ref="D213:D276" ca="1" si="58">IF(B213="","",IF($C$13="krw",(TRUNC(($C$9*$E$9)/(IF($C$10=$O$9,1,IF($C$10=$O$8,2,4))),2)*$C$14),(TRUNC(($C$9*$E$9)/(IF($C$10=$O$9,1,IF($C$10=$O$8,2,4))),2))))</f>
        <v>#NUM!</v>
      </c>
      <c r="E213" s="131" t="e">
        <f t="shared" ref="E213:E276" ca="1" si="59">IF(B213="","",D213)</f>
        <v>#NUM!</v>
      </c>
      <c r="F213" s="137" t="e">
        <f t="shared" ref="F213:F276" ca="1" si="60">IF(B213="","",IF(E213&gt;R213,E213-R213,0))</f>
        <v>#NUM!</v>
      </c>
      <c r="G213" s="132" t="e">
        <f t="shared" ref="G213:G276" ca="1" si="61">IF(B213="","",IF($C$16="비과세(0%)",0,IF($C$16="표준(소득세14%+지방세)",ROUNDDOWN(F213*14%,2),ROUNDDOWN(F213*0%,-1))))</f>
        <v>#NUM!</v>
      </c>
      <c r="H213" s="132" t="e">
        <f t="shared" ref="H213:H276" ca="1" si="62">IF(B213="","",IF($C$16="비과세(0%)",0,IF($C$16="표준(소득세14%+지방세)",ROUNDDOWN(G213*10%,2),IF($E$4="개인",F213*1.4%,F213*2.8%))))</f>
        <v>#NUM!</v>
      </c>
      <c r="I213" s="131" t="e">
        <f t="shared" ref="I213:I276" ca="1" si="63">IF(B213="","",D213-P213-G213-H213)</f>
        <v>#NUM!</v>
      </c>
      <c r="J213" s="66"/>
      <c r="K213" s="11"/>
      <c r="L213" s="11"/>
      <c r="M213" s="6" t="e">
        <f t="shared" ref="M213:M276" ca="1" si="64">IF(B212&lt;$C$8,COUPNCD(M212,$C$8,IF($C$10=$O$9,1,IF($C$10=$O$8,2,4))),"")</f>
        <v>#NUM!</v>
      </c>
      <c r="N213" s="40" t="str">
        <f t="shared" si="55"/>
        <v>195기 보수</v>
      </c>
      <c r="O213" s="38" t="e">
        <f t="shared" ref="O213:O276" ca="1" si="65">S212</f>
        <v>#NUM!</v>
      </c>
      <c r="P213" s="38" t="e">
        <f t="shared" ref="P213:P276" ca="1" si="66">$I$7*$G$8/365*(_xlfn.DAYS(B213,M213))</f>
        <v>#NAME?</v>
      </c>
      <c r="Q213" s="38" t="e">
        <f t="shared" ref="Q213:Q276" ca="1" si="67">+T212+P213</f>
        <v>#NUM!</v>
      </c>
      <c r="R213" s="38" t="e">
        <f t="shared" ref="R213:R276" ca="1" si="68">+O213+Q213</f>
        <v>#NUM!</v>
      </c>
      <c r="S213" s="38" t="e">
        <f t="shared" ref="S213:S276" ca="1" si="69">IF(E213&lt;O213,O213-E213,0)</f>
        <v>#NUM!</v>
      </c>
      <c r="T213" s="38" t="e">
        <f t="shared" ref="T213:T276" ca="1" si="70">IF(S213&gt;0,Q213,IF(E213&gt;R213,0,Q213-(E213-O213)))</f>
        <v>#NUM!</v>
      </c>
    </row>
    <row r="214" spans="1:20" ht="20.25" customHeight="1">
      <c r="A214" s="62"/>
      <c r="B214" s="6" t="e">
        <f t="shared" ca="1" si="56"/>
        <v>#NUM!</v>
      </c>
      <c r="C214" s="117" t="e">
        <f t="shared" ca="1" si="57"/>
        <v>#NUM!</v>
      </c>
      <c r="D214" s="131" t="e">
        <f t="shared" ca="1" si="58"/>
        <v>#NUM!</v>
      </c>
      <c r="E214" s="131" t="e">
        <f t="shared" ca="1" si="59"/>
        <v>#NUM!</v>
      </c>
      <c r="F214" s="137" t="e">
        <f t="shared" ca="1" si="60"/>
        <v>#NUM!</v>
      </c>
      <c r="G214" s="132" t="e">
        <f t="shared" ca="1" si="61"/>
        <v>#NUM!</v>
      </c>
      <c r="H214" s="132" t="e">
        <f t="shared" ca="1" si="62"/>
        <v>#NUM!</v>
      </c>
      <c r="I214" s="131" t="e">
        <f t="shared" ca="1" si="63"/>
        <v>#NUM!</v>
      </c>
      <c r="J214" s="66"/>
      <c r="K214" s="11"/>
      <c r="L214" s="11"/>
      <c r="M214" s="6" t="e">
        <f t="shared" ca="1" si="64"/>
        <v>#NUM!</v>
      </c>
      <c r="N214" s="40" t="str">
        <f t="shared" si="55"/>
        <v>196기 보수</v>
      </c>
      <c r="O214" s="38" t="e">
        <f t="shared" ca="1" si="65"/>
        <v>#NUM!</v>
      </c>
      <c r="P214" s="38" t="e">
        <f t="shared" ca="1" si="66"/>
        <v>#NAME?</v>
      </c>
      <c r="Q214" s="38" t="e">
        <f t="shared" ca="1" si="67"/>
        <v>#NUM!</v>
      </c>
      <c r="R214" s="38" t="e">
        <f t="shared" ca="1" si="68"/>
        <v>#NUM!</v>
      </c>
      <c r="S214" s="38" t="e">
        <f t="shared" ca="1" si="69"/>
        <v>#NUM!</v>
      </c>
      <c r="T214" s="38" t="e">
        <f t="shared" ca="1" si="70"/>
        <v>#NUM!</v>
      </c>
    </row>
    <row r="215" spans="1:20" ht="20.25" customHeight="1">
      <c r="A215" s="62"/>
      <c r="B215" s="6" t="e">
        <f t="shared" ca="1" si="56"/>
        <v>#NUM!</v>
      </c>
      <c r="C215" s="117" t="e">
        <f t="shared" ca="1" si="57"/>
        <v>#NUM!</v>
      </c>
      <c r="D215" s="131" t="e">
        <f t="shared" ca="1" si="58"/>
        <v>#NUM!</v>
      </c>
      <c r="E215" s="131" t="e">
        <f t="shared" ca="1" si="59"/>
        <v>#NUM!</v>
      </c>
      <c r="F215" s="137" t="e">
        <f t="shared" ca="1" si="60"/>
        <v>#NUM!</v>
      </c>
      <c r="G215" s="132" t="e">
        <f t="shared" ca="1" si="61"/>
        <v>#NUM!</v>
      </c>
      <c r="H215" s="132" t="e">
        <f t="shared" ca="1" si="62"/>
        <v>#NUM!</v>
      </c>
      <c r="I215" s="131" t="e">
        <f t="shared" ca="1" si="63"/>
        <v>#NUM!</v>
      </c>
      <c r="J215" s="66"/>
      <c r="K215" s="11"/>
      <c r="L215" s="11"/>
      <c r="M215" s="6" t="e">
        <f t="shared" ca="1" si="64"/>
        <v>#NUM!</v>
      </c>
      <c r="N215" s="40" t="str">
        <f t="shared" si="55"/>
        <v>197기 보수</v>
      </c>
      <c r="O215" s="38" t="e">
        <f t="shared" ca="1" si="65"/>
        <v>#NUM!</v>
      </c>
      <c r="P215" s="38" t="e">
        <f t="shared" ca="1" si="66"/>
        <v>#NAME?</v>
      </c>
      <c r="Q215" s="38" t="e">
        <f t="shared" ca="1" si="67"/>
        <v>#NUM!</v>
      </c>
      <c r="R215" s="38" t="e">
        <f t="shared" ca="1" si="68"/>
        <v>#NUM!</v>
      </c>
      <c r="S215" s="38" t="e">
        <f t="shared" ca="1" si="69"/>
        <v>#NUM!</v>
      </c>
      <c r="T215" s="38" t="e">
        <f t="shared" ca="1" si="70"/>
        <v>#NUM!</v>
      </c>
    </row>
    <row r="216" spans="1:20" ht="20.25" customHeight="1">
      <c r="A216" s="62"/>
      <c r="B216" s="6" t="e">
        <f t="shared" ca="1" si="56"/>
        <v>#NUM!</v>
      </c>
      <c r="C216" s="117" t="e">
        <f t="shared" ca="1" si="57"/>
        <v>#NUM!</v>
      </c>
      <c r="D216" s="131" t="e">
        <f t="shared" ca="1" si="58"/>
        <v>#NUM!</v>
      </c>
      <c r="E216" s="131" t="e">
        <f t="shared" ca="1" si="59"/>
        <v>#NUM!</v>
      </c>
      <c r="F216" s="137" t="e">
        <f t="shared" ca="1" si="60"/>
        <v>#NUM!</v>
      </c>
      <c r="G216" s="132" t="e">
        <f t="shared" ca="1" si="61"/>
        <v>#NUM!</v>
      </c>
      <c r="H216" s="132" t="e">
        <f t="shared" ca="1" si="62"/>
        <v>#NUM!</v>
      </c>
      <c r="I216" s="131" t="e">
        <f t="shared" ca="1" si="63"/>
        <v>#NUM!</v>
      </c>
      <c r="J216" s="66"/>
      <c r="K216" s="11"/>
      <c r="L216" s="11"/>
      <c r="M216" s="6" t="e">
        <f t="shared" ca="1" si="64"/>
        <v>#NUM!</v>
      </c>
      <c r="N216" s="40" t="str">
        <f t="shared" si="55"/>
        <v>198기 보수</v>
      </c>
      <c r="O216" s="38" t="e">
        <f t="shared" ca="1" si="65"/>
        <v>#NUM!</v>
      </c>
      <c r="P216" s="38" t="e">
        <f t="shared" ca="1" si="66"/>
        <v>#NAME?</v>
      </c>
      <c r="Q216" s="38" t="e">
        <f t="shared" ca="1" si="67"/>
        <v>#NUM!</v>
      </c>
      <c r="R216" s="38" t="e">
        <f t="shared" ca="1" si="68"/>
        <v>#NUM!</v>
      </c>
      <c r="S216" s="38" t="e">
        <f t="shared" ca="1" si="69"/>
        <v>#NUM!</v>
      </c>
      <c r="T216" s="38" t="e">
        <f t="shared" ca="1" si="70"/>
        <v>#NUM!</v>
      </c>
    </row>
    <row r="217" spans="1:20" ht="20.25" customHeight="1">
      <c r="A217" s="62"/>
      <c r="B217" s="6" t="e">
        <f t="shared" ca="1" si="56"/>
        <v>#NUM!</v>
      </c>
      <c r="C217" s="117" t="e">
        <f t="shared" ca="1" si="57"/>
        <v>#NUM!</v>
      </c>
      <c r="D217" s="131" t="e">
        <f t="shared" ca="1" si="58"/>
        <v>#NUM!</v>
      </c>
      <c r="E217" s="131" t="e">
        <f t="shared" ca="1" si="59"/>
        <v>#NUM!</v>
      </c>
      <c r="F217" s="137" t="e">
        <f t="shared" ca="1" si="60"/>
        <v>#NUM!</v>
      </c>
      <c r="G217" s="132" t="e">
        <f t="shared" ca="1" si="61"/>
        <v>#NUM!</v>
      </c>
      <c r="H217" s="132" t="e">
        <f t="shared" ca="1" si="62"/>
        <v>#NUM!</v>
      </c>
      <c r="I217" s="131" t="e">
        <f t="shared" ca="1" si="63"/>
        <v>#NUM!</v>
      </c>
      <c r="J217" s="66"/>
      <c r="K217" s="11"/>
      <c r="L217" s="11"/>
      <c r="M217" s="6" t="e">
        <f t="shared" ca="1" si="64"/>
        <v>#NUM!</v>
      </c>
      <c r="N217" s="40" t="str">
        <f t="shared" si="55"/>
        <v>199기 보수</v>
      </c>
      <c r="O217" s="38" t="e">
        <f t="shared" ca="1" si="65"/>
        <v>#NUM!</v>
      </c>
      <c r="P217" s="38" t="e">
        <f t="shared" ca="1" si="66"/>
        <v>#NAME?</v>
      </c>
      <c r="Q217" s="38" t="e">
        <f t="shared" ca="1" si="67"/>
        <v>#NUM!</v>
      </c>
      <c r="R217" s="38" t="e">
        <f t="shared" ca="1" si="68"/>
        <v>#NUM!</v>
      </c>
      <c r="S217" s="38" t="e">
        <f t="shared" ca="1" si="69"/>
        <v>#NUM!</v>
      </c>
      <c r="T217" s="38" t="e">
        <f t="shared" ca="1" si="70"/>
        <v>#NUM!</v>
      </c>
    </row>
    <row r="218" spans="1:20" ht="20.25" customHeight="1">
      <c r="A218" s="62"/>
      <c r="B218" s="6" t="e">
        <f t="shared" ca="1" si="56"/>
        <v>#NUM!</v>
      </c>
      <c r="C218" s="117" t="e">
        <f t="shared" ca="1" si="57"/>
        <v>#NUM!</v>
      </c>
      <c r="D218" s="131" t="e">
        <f t="shared" ca="1" si="58"/>
        <v>#NUM!</v>
      </c>
      <c r="E218" s="131" t="e">
        <f t="shared" ca="1" si="59"/>
        <v>#NUM!</v>
      </c>
      <c r="F218" s="137" t="e">
        <f t="shared" ca="1" si="60"/>
        <v>#NUM!</v>
      </c>
      <c r="G218" s="132" t="e">
        <f t="shared" ca="1" si="61"/>
        <v>#NUM!</v>
      </c>
      <c r="H218" s="132" t="e">
        <f t="shared" ca="1" si="62"/>
        <v>#NUM!</v>
      </c>
      <c r="I218" s="131" t="e">
        <f t="shared" ca="1" si="63"/>
        <v>#NUM!</v>
      </c>
      <c r="J218" s="66"/>
      <c r="K218" s="11"/>
      <c r="L218" s="11"/>
      <c r="M218" s="6" t="e">
        <f t="shared" ca="1" si="64"/>
        <v>#NUM!</v>
      </c>
      <c r="N218" s="40" t="str">
        <f t="shared" si="55"/>
        <v>200기 보수</v>
      </c>
      <c r="O218" s="38" t="e">
        <f t="shared" ca="1" si="65"/>
        <v>#NUM!</v>
      </c>
      <c r="P218" s="38" t="e">
        <f t="shared" ca="1" si="66"/>
        <v>#NAME?</v>
      </c>
      <c r="Q218" s="38" t="e">
        <f t="shared" ca="1" si="67"/>
        <v>#NUM!</v>
      </c>
      <c r="R218" s="38" t="e">
        <f t="shared" ca="1" si="68"/>
        <v>#NUM!</v>
      </c>
      <c r="S218" s="38" t="e">
        <f t="shared" ca="1" si="69"/>
        <v>#NUM!</v>
      </c>
      <c r="T218" s="38" t="e">
        <f t="shared" ca="1" si="70"/>
        <v>#NUM!</v>
      </c>
    </row>
    <row r="219" spans="1:20" ht="20.25" customHeight="1">
      <c r="A219" s="62"/>
      <c r="B219" s="6" t="e">
        <f t="shared" ca="1" si="56"/>
        <v>#NUM!</v>
      </c>
      <c r="C219" s="117" t="e">
        <f t="shared" ca="1" si="57"/>
        <v>#NUM!</v>
      </c>
      <c r="D219" s="131" t="e">
        <f t="shared" ca="1" si="58"/>
        <v>#NUM!</v>
      </c>
      <c r="E219" s="131" t="e">
        <f t="shared" ca="1" si="59"/>
        <v>#NUM!</v>
      </c>
      <c r="F219" s="137" t="e">
        <f t="shared" ca="1" si="60"/>
        <v>#NUM!</v>
      </c>
      <c r="G219" s="132" t="e">
        <f t="shared" ca="1" si="61"/>
        <v>#NUM!</v>
      </c>
      <c r="H219" s="132" t="e">
        <f t="shared" ca="1" si="62"/>
        <v>#NUM!</v>
      </c>
      <c r="I219" s="131" t="e">
        <f t="shared" ca="1" si="63"/>
        <v>#NUM!</v>
      </c>
      <c r="J219" s="66"/>
      <c r="K219" s="11"/>
      <c r="L219" s="11"/>
      <c r="M219" s="6" t="e">
        <f t="shared" ca="1" si="64"/>
        <v>#NUM!</v>
      </c>
      <c r="N219" s="40" t="str">
        <f t="shared" si="55"/>
        <v>201기 보수</v>
      </c>
      <c r="O219" s="38" t="e">
        <f t="shared" ca="1" si="65"/>
        <v>#NUM!</v>
      </c>
      <c r="P219" s="38" t="e">
        <f t="shared" ca="1" si="66"/>
        <v>#NAME?</v>
      </c>
      <c r="Q219" s="38" t="e">
        <f t="shared" ca="1" si="67"/>
        <v>#NUM!</v>
      </c>
      <c r="R219" s="38" t="e">
        <f t="shared" ca="1" si="68"/>
        <v>#NUM!</v>
      </c>
      <c r="S219" s="38" t="e">
        <f t="shared" ca="1" si="69"/>
        <v>#NUM!</v>
      </c>
      <c r="T219" s="38" t="e">
        <f t="shared" ca="1" si="70"/>
        <v>#NUM!</v>
      </c>
    </row>
    <row r="220" spans="1:20" ht="20.25" customHeight="1">
      <c r="A220" s="62"/>
      <c r="B220" s="6" t="e">
        <f t="shared" ca="1" si="56"/>
        <v>#NUM!</v>
      </c>
      <c r="C220" s="117" t="e">
        <f t="shared" ca="1" si="57"/>
        <v>#NUM!</v>
      </c>
      <c r="D220" s="131" t="e">
        <f t="shared" ca="1" si="58"/>
        <v>#NUM!</v>
      </c>
      <c r="E220" s="131" t="e">
        <f t="shared" ca="1" si="59"/>
        <v>#NUM!</v>
      </c>
      <c r="F220" s="137" t="e">
        <f t="shared" ca="1" si="60"/>
        <v>#NUM!</v>
      </c>
      <c r="G220" s="132" t="e">
        <f t="shared" ca="1" si="61"/>
        <v>#NUM!</v>
      </c>
      <c r="H220" s="132" t="e">
        <f t="shared" ca="1" si="62"/>
        <v>#NUM!</v>
      </c>
      <c r="I220" s="131" t="e">
        <f t="shared" ca="1" si="63"/>
        <v>#NUM!</v>
      </c>
      <c r="J220" s="66"/>
      <c r="K220" s="11"/>
      <c r="L220" s="11"/>
      <c r="M220" s="6" t="e">
        <f t="shared" ca="1" si="64"/>
        <v>#NUM!</v>
      </c>
      <c r="N220" s="40" t="str">
        <f t="shared" si="55"/>
        <v>202기 보수</v>
      </c>
      <c r="O220" s="38" t="e">
        <f t="shared" ca="1" si="65"/>
        <v>#NUM!</v>
      </c>
      <c r="P220" s="38" t="e">
        <f t="shared" ca="1" si="66"/>
        <v>#NAME?</v>
      </c>
      <c r="Q220" s="38" t="e">
        <f t="shared" ca="1" si="67"/>
        <v>#NUM!</v>
      </c>
      <c r="R220" s="38" t="e">
        <f t="shared" ca="1" si="68"/>
        <v>#NUM!</v>
      </c>
      <c r="S220" s="38" t="e">
        <f t="shared" ca="1" si="69"/>
        <v>#NUM!</v>
      </c>
      <c r="T220" s="38" t="e">
        <f t="shared" ca="1" si="70"/>
        <v>#NUM!</v>
      </c>
    </row>
    <row r="221" spans="1:20" ht="20.25" customHeight="1">
      <c r="A221" s="62"/>
      <c r="B221" s="6" t="e">
        <f t="shared" ca="1" si="56"/>
        <v>#NUM!</v>
      </c>
      <c r="C221" s="117" t="e">
        <f t="shared" ca="1" si="57"/>
        <v>#NUM!</v>
      </c>
      <c r="D221" s="131" t="e">
        <f t="shared" ca="1" si="58"/>
        <v>#NUM!</v>
      </c>
      <c r="E221" s="131" t="e">
        <f t="shared" ca="1" si="59"/>
        <v>#NUM!</v>
      </c>
      <c r="F221" s="137" t="e">
        <f t="shared" ca="1" si="60"/>
        <v>#NUM!</v>
      </c>
      <c r="G221" s="132" t="e">
        <f t="shared" ca="1" si="61"/>
        <v>#NUM!</v>
      </c>
      <c r="H221" s="132" t="e">
        <f t="shared" ca="1" si="62"/>
        <v>#NUM!</v>
      </c>
      <c r="I221" s="131" t="e">
        <f t="shared" ca="1" si="63"/>
        <v>#NUM!</v>
      </c>
      <c r="J221" s="66"/>
      <c r="K221" s="11"/>
      <c r="L221" s="11"/>
      <c r="M221" s="6" t="e">
        <f t="shared" ca="1" si="64"/>
        <v>#NUM!</v>
      </c>
      <c r="N221" s="40" t="str">
        <f t="shared" si="55"/>
        <v>203기 보수</v>
      </c>
      <c r="O221" s="38" t="e">
        <f t="shared" ca="1" si="65"/>
        <v>#NUM!</v>
      </c>
      <c r="P221" s="38" t="e">
        <f t="shared" ca="1" si="66"/>
        <v>#NAME?</v>
      </c>
      <c r="Q221" s="38" t="e">
        <f t="shared" ca="1" si="67"/>
        <v>#NUM!</v>
      </c>
      <c r="R221" s="38" t="e">
        <f t="shared" ca="1" si="68"/>
        <v>#NUM!</v>
      </c>
      <c r="S221" s="38" t="e">
        <f t="shared" ca="1" si="69"/>
        <v>#NUM!</v>
      </c>
      <c r="T221" s="38" t="e">
        <f t="shared" ca="1" si="70"/>
        <v>#NUM!</v>
      </c>
    </row>
    <row r="222" spans="1:20" ht="20.25" customHeight="1">
      <c r="A222" s="62"/>
      <c r="B222" s="6" t="e">
        <f t="shared" ca="1" si="56"/>
        <v>#NUM!</v>
      </c>
      <c r="C222" s="117" t="e">
        <f t="shared" ca="1" si="57"/>
        <v>#NUM!</v>
      </c>
      <c r="D222" s="131" t="e">
        <f t="shared" ca="1" si="58"/>
        <v>#NUM!</v>
      </c>
      <c r="E222" s="131" t="e">
        <f t="shared" ca="1" si="59"/>
        <v>#NUM!</v>
      </c>
      <c r="F222" s="137" t="e">
        <f t="shared" ca="1" si="60"/>
        <v>#NUM!</v>
      </c>
      <c r="G222" s="132" t="e">
        <f t="shared" ca="1" si="61"/>
        <v>#NUM!</v>
      </c>
      <c r="H222" s="132" t="e">
        <f t="shared" ca="1" si="62"/>
        <v>#NUM!</v>
      </c>
      <c r="I222" s="131" t="e">
        <f t="shared" ca="1" si="63"/>
        <v>#NUM!</v>
      </c>
      <c r="J222" s="66"/>
      <c r="K222" s="11"/>
      <c r="L222" s="11"/>
      <c r="M222" s="6" t="e">
        <f t="shared" ca="1" si="64"/>
        <v>#NUM!</v>
      </c>
      <c r="N222" s="40" t="str">
        <f t="shared" si="55"/>
        <v>204기 보수</v>
      </c>
      <c r="O222" s="38" t="e">
        <f t="shared" ca="1" si="65"/>
        <v>#NUM!</v>
      </c>
      <c r="P222" s="38" t="e">
        <f t="shared" ca="1" si="66"/>
        <v>#NAME?</v>
      </c>
      <c r="Q222" s="38" t="e">
        <f t="shared" ca="1" si="67"/>
        <v>#NUM!</v>
      </c>
      <c r="R222" s="38" t="e">
        <f t="shared" ca="1" si="68"/>
        <v>#NUM!</v>
      </c>
      <c r="S222" s="38" t="e">
        <f t="shared" ca="1" si="69"/>
        <v>#NUM!</v>
      </c>
      <c r="T222" s="38" t="e">
        <f t="shared" ca="1" si="70"/>
        <v>#NUM!</v>
      </c>
    </row>
    <row r="223" spans="1:20" ht="20.25" customHeight="1">
      <c r="A223" s="62"/>
      <c r="B223" s="6" t="e">
        <f t="shared" ca="1" si="56"/>
        <v>#NUM!</v>
      </c>
      <c r="C223" s="117" t="e">
        <f t="shared" ca="1" si="57"/>
        <v>#NUM!</v>
      </c>
      <c r="D223" s="131" t="e">
        <f t="shared" ca="1" si="58"/>
        <v>#NUM!</v>
      </c>
      <c r="E223" s="131" t="e">
        <f t="shared" ca="1" si="59"/>
        <v>#NUM!</v>
      </c>
      <c r="F223" s="137" t="e">
        <f t="shared" ca="1" si="60"/>
        <v>#NUM!</v>
      </c>
      <c r="G223" s="132" t="e">
        <f t="shared" ca="1" si="61"/>
        <v>#NUM!</v>
      </c>
      <c r="H223" s="132" t="e">
        <f t="shared" ca="1" si="62"/>
        <v>#NUM!</v>
      </c>
      <c r="I223" s="131" t="e">
        <f t="shared" ca="1" si="63"/>
        <v>#NUM!</v>
      </c>
      <c r="J223" s="66"/>
      <c r="K223" s="11"/>
      <c r="L223" s="11"/>
      <c r="M223" s="6" t="e">
        <f t="shared" ca="1" si="64"/>
        <v>#NUM!</v>
      </c>
      <c r="N223" s="40" t="str">
        <f t="shared" si="55"/>
        <v>205기 보수</v>
      </c>
      <c r="O223" s="38" t="e">
        <f t="shared" ca="1" si="65"/>
        <v>#NUM!</v>
      </c>
      <c r="P223" s="38" t="e">
        <f t="shared" ca="1" si="66"/>
        <v>#NAME?</v>
      </c>
      <c r="Q223" s="38" t="e">
        <f t="shared" ca="1" si="67"/>
        <v>#NUM!</v>
      </c>
      <c r="R223" s="38" t="e">
        <f t="shared" ca="1" si="68"/>
        <v>#NUM!</v>
      </c>
      <c r="S223" s="38" t="e">
        <f t="shared" ca="1" si="69"/>
        <v>#NUM!</v>
      </c>
      <c r="T223" s="38" t="e">
        <f t="shared" ca="1" si="70"/>
        <v>#NUM!</v>
      </c>
    </row>
    <row r="224" spans="1:20" ht="20.25" customHeight="1">
      <c r="A224" s="62"/>
      <c r="B224" s="6" t="e">
        <f t="shared" ca="1" si="56"/>
        <v>#NUM!</v>
      </c>
      <c r="C224" s="117" t="e">
        <f t="shared" ca="1" si="57"/>
        <v>#NUM!</v>
      </c>
      <c r="D224" s="131" t="e">
        <f t="shared" ca="1" si="58"/>
        <v>#NUM!</v>
      </c>
      <c r="E224" s="131" t="e">
        <f t="shared" ca="1" si="59"/>
        <v>#NUM!</v>
      </c>
      <c r="F224" s="137" t="e">
        <f t="shared" ca="1" si="60"/>
        <v>#NUM!</v>
      </c>
      <c r="G224" s="132" t="e">
        <f t="shared" ca="1" si="61"/>
        <v>#NUM!</v>
      </c>
      <c r="H224" s="132" t="e">
        <f t="shared" ca="1" si="62"/>
        <v>#NUM!</v>
      </c>
      <c r="I224" s="131" t="e">
        <f t="shared" ca="1" si="63"/>
        <v>#NUM!</v>
      </c>
      <c r="J224" s="66"/>
      <c r="K224" s="11"/>
      <c r="L224" s="11"/>
      <c r="M224" s="6" t="e">
        <f t="shared" ca="1" si="64"/>
        <v>#NUM!</v>
      </c>
      <c r="N224" s="40" t="str">
        <f t="shared" si="55"/>
        <v>206기 보수</v>
      </c>
      <c r="O224" s="38" t="e">
        <f t="shared" ca="1" si="65"/>
        <v>#NUM!</v>
      </c>
      <c r="P224" s="38" t="e">
        <f t="shared" ca="1" si="66"/>
        <v>#NAME?</v>
      </c>
      <c r="Q224" s="38" t="e">
        <f t="shared" ca="1" si="67"/>
        <v>#NUM!</v>
      </c>
      <c r="R224" s="38" t="e">
        <f t="shared" ca="1" si="68"/>
        <v>#NUM!</v>
      </c>
      <c r="S224" s="38" t="e">
        <f t="shared" ca="1" si="69"/>
        <v>#NUM!</v>
      </c>
      <c r="T224" s="38" t="e">
        <f t="shared" ca="1" si="70"/>
        <v>#NUM!</v>
      </c>
    </row>
    <row r="225" spans="1:20" ht="20.25" customHeight="1">
      <c r="A225" s="62"/>
      <c r="B225" s="6" t="e">
        <f t="shared" ca="1" si="56"/>
        <v>#NUM!</v>
      </c>
      <c r="C225" s="117" t="e">
        <f t="shared" ca="1" si="57"/>
        <v>#NUM!</v>
      </c>
      <c r="D225" s="131" t="e">
        <f t="shared" ca="1" si="58"/>
        <v>#NUM!</v>
      </c>
      <c r="E225" s="131" t="e">
        <f t="shared" ca="1" si="59"/>
        <v>#NUM!</v>
      </c>
      <c r="F225" s="137" t="e">
        <f t="shared" ca="1" si="60"/>
        <v>#NUM!</v>
      </c>
      <c r="G225" s="132" t="e">
        <f t="shared" ca="1" si="61"/>
        <v>#NUM!</v>
      </c>
      <c r="H225" s="132" t="e">
        <f t="shared" ca="1" si="62"/>
        <v>#NUM!</v>
      </c>
      <c r="I225" s="131" t="e">
        <f t="shared" ca="1" si="63"/>
        <v>#NUM!</v>
      </c>
      <c r="J225" s="66"/>
      <c r="K225" s="11"/>
      <c r="L225" s="11"/>
      <c r="M225" s="6" t="e">
        <f t="shared" ca="1" si="64"/>
        <v>#NUM!</v>
      </c>
      <c r="N225" s="40" t="str">
        <f t="shared" si="55"/>
        <v>207기 보수</v>
      </c>
      <c r="O225" s="38" t="e">
        <f t="shared" ca="1" si="65"/>
        <v>#NUM!</v>
      </c>
      <c r="P225" s="38" t="e">
        <f t="shared" ca="1" si="66"/>
        <v>#NAME?</v>
      </c>
      <c r="Q225" s="38" t="e">
        <f t="shared" ca="1" si="67"/>
        <v>#NUM!</v>
      </c>
      <c r="R225" s="38" t="e">
        <f t="shared" ca="1" si="68"/>
        <v>#NUM!</v>
      </c>
      <c r="S225" s="38" t="e">
        <f t="shared" ca="1" si="69"/>
        <v>#NUM!</v>
      </c>
      <c r="T225" s="38" t="e">
        <f t="shared" ca="1" si="70"/>
        <v>#NUM!</v>
      </c>
    </row>
    <row r="226" spans="1:20" ht="20.25" customHeight="1">
      <c r="A226" s="62"/>
      <c r="B226" s="6" t="e">
        <f t="shared" ca="1" si="56"/>
        <v>#NUM!</v>
      </c>
      <c r="C226" s="117" t="e">
        <f t="shared" ca="1" si="57"/>
        <v>#NUM!</v>
      </c>
      <c r="D226" s="131" t="e">
        <f t="shared" ca="1" si="58"/>
        <v>#NUM!</v>
      </c>
      <c r="E226" s="131" t="e">
        <f t="shared" ca="1" si="59"/>
        <v>#NUM!</v>
      </c>
      <c r="F226" s="137" t="e">
        <f t="shared" ca="1" si="60"/>
        <v>#NUM!</v>
      </c>
      <c r="G226" s="132" t="e">
        <f t="shared" ca="1" si="61"/>
        <v>#NUM!</v>
      </c>
      <c r="H226" s="132" t="e">
        <f t="shared" ca="1" si="62"/>
        <v>#NUM!</v>
      </c>
      <c r="I226" s="131" t="e">
        <f t="shared" ca="1" si="63"/>
        <v>#NUM!</v>
      </c>
      <c r="J226" s="66"/>
      <c r="K226" s="11"/>
      <c r="L226" s="11"/>
      <c r="M226" s="6" t="e">
        <f t="shared" ca="1" si="64"/>
        <v>#NUM!</v>
      </c>
      <c r="N226" s="40" t="str">
        <f t="shared" si="55"/>
        <v>208기 보수</v>
      </c>
      <c r="O226" s="38" t="e">
        <f t="shared" ca="1" si="65"/>
        <v>#NUM!</v>
      </c>
      <c r="P226" s="38" t="e">
        <f t="shared" ca="1" si="66"/>
        <v>#NAME?</v>
      </c>
      <c r="Q226" s="38" t="e">
        <f t="shared" ca="1" si="67"/>
        <v>#NUM!</v>
      </c>
      <c r="R226" s="38" t="e">
        <f t="shared" ca="1" si="68"/>
        <v>#NUM!</v>
      </c>
      <c r="S226" s="38" t="e">
        <f t="shared" ca="1" si="69"/>
        <v>#NUM!</v>
      </c>
      <c r="T226" s="38" t="e">
        <f t="shared" ca="1" si="70"/>
        <v>#NUM!</v>
      </c>
    </row>
    <row r="227" spans="1:20" ht="20.25" customHeight="1">
      <c r="A227" s="62"/>
      <c r="B227" s="6" t="e">
        <f t="shared" ca="1" si="56"/>
        <v>#NUM!</v>
      </c>
      <c r="C227" s="117" t="e">
        <f t="shared" ca="1" si="57"/>
        <v>#NUM!</v>
      </c>
      <c r="D227" s="131" t="e">
        <f t="shared" ca="1" si="58"/>
        <v>#NUM!</v>
      </c>
      <c r="E227" s="131" t="e">
        <f t="shared" ca="1" si="59"/>
        <v>#NUM!</v>
      </c>
      <c r="F227" s="137" t="e">
        <f t="shared" ca="1" si="60"/>
        <v>#NUM!</v>
      </c>
      <c r="G227" s="132" t="e">
        <f t="shared" ca="1" si="61"/>
        <v>#NUM!</v>
      </c>
      <c r="H227" s="132" t="e">
        <f t="shared" ca="1" si="62"/>
        <v>#NUM!</v>
      </c>
      <c r="I227" s="131" t="e">
        <f t="shared" ca="1" si="63"/>
        <v>#NUM!</v>
      </c>
      <c r="J227" s="66"/>
      <c r="K227" s="11"/>
      <c r="L227" s="11"/>
      <c r="M227" s="6" t="e">
        <f t="shared" ca="1" si="64"/>
        <v>#NUM!</v>
      </c>
      <c r="N227" s="40" t="str">
        <f t="shared" si="55"/>
        <v>209기 보수</v>
      </c>
      <c r="O227" s="38" t="e">
        <f t="shared" ca="1" si="65"/>
        <v>#NUM!</v>
      </c>
      <c r="P227" s="38" t="e">
        <f t="shared" ca="1" si="66"/>
        <v>#NAME?</v>
      </c>
      <c r="Q227" s="38" t="e">
        <f t="shared" ca="1" si="67"/>
        <v>#NUM!</v>
      </c>
      <c r="R227" s="38" t="e">
        <f t="shared" ca="1" si="68"/>
        <v>#NUM!</v>
      </c>
      <c r="S227" s="38" t="e">
        <f t="shared" ca="1" si="69"/>
        <v>#NUM!</v>
      </c>
      <c r="T227" s="38" t="e">
        <f t="shared" ca="1" si="70"/>
        <v>#NUM!</v>
      </c>
    </row>
    <row r="228" spans="1:20" ht="20.25" customHeight="1">
      <c r="A228" s="62"/>
      <c r="B228" s="6" t="e">
        <f t="shared" ca="1" si="56"/>
        <v>#NUM!</v>
      </c>
      <c r="C228" s="117" t="e">
        <f t="shared" ca="1" si="57"/>
        <v>#NUM!</v>
      </c>
      <c r="D228" s="131" t="e">
        <f t="shared" ca="1" si="58"/>
        <v>#NUM!</v>
      </c>
      <c r="E228" s="131" t="e">
        <f t="shared" ca="1" si="59"/>
        <v>#NUM!</v>
      </c>
      <c r="F228" s="137" t="e">
        <f t="shared" ca="1" si="60"/>
        <v>#NUM!</v>
      </c>
      <c r="G228" s="132" t="e">
        <f t="shared" ca="1" si="61"/>
        <v>#NUM!</v>
      </c>
      <c r="H228" s="132" t="e">
        <f t="shared" ca="1" si="62"/>
        <v>#NUM!</v>
      </c>
      <c r="I228" s="131" t="e">
        <f t="shared" ca="1" si="63"/>
        <v>#NUM!</v>
      </c>
      <c r="J228" s="66"/>
      <c r="K228" s="11"/>
      <c r="L228" s="11"/>
      <c r="M228" s="6" t="e">
        <f t="shared" ca="1" si="64"/>
        <v>#NUM!</v>
      </c>
      <c r="N228" s="40" t="str">
        <f t="shared" si="55"/>
        <v>210기 보수</v>
      </c>
      <c r="O228" s="38" t="e">
        <f t="shared" ca="1" si="65"/>
        <v>#NUM!</v>
      </c>
      <c r="P228" s="38" t="e">
        <f t="shared" ca="1" si="66"/>
        <v>#NAME?</v>
      </c>
      <c r="Q228" s="38" t="e">
        <f t="shared" ca="1" si="67"/>
        <v>#NUM!</v>
      </c>
      <c r="R228" s="38" t="e">
        <f t="shared" ca="1" si="68"/>
        <v>#NUM!</v>
      </c>
      <c r="S228" s="38" t="e">
        <f t="shared" ca="1" si="69"/>
        <v>#NUM!</v>
      </c>
      <c r="T228" s="38" t="e">
        <f t="shared" ca="1" si="70"/>
        <v>#NUM!</v>
      </c>
    </row>
    <row r="229" spans="1:20" ht="20.25" customHeight="1">
      <c r="A229" s="62"/>
      <c r="B229" s="6" t="e">
        <f t="shared" ca="1" si="56"/>
        <v>#NUM!</v>
      </c>
      <c r="C229" s="117" t="e">
        <f t="shared" ca="1" si="57"/>
        <v>#NUM!</v>
      </c>
      <c r="D229" s="131" t="e">
        <f t="shared" ca="1" si="58"/>
        <v>#NUM!</v>
      </c>
      <c r="E229" s="131" t="e">
        <f t="shared" ca="1" si="59"/>
        <v>#NUM!</v>
      </c>
      <c r="F229" s="137" t="e">
        <f t="shared" ca="1" si="60"/>
        <v>#NUM!</v>
      </c>
      <c r="G229" s="132" t="e">
        <f t="shared" ca="1" si="61"/>
        <v>#NUM!</v>
      </c>
      <c r="H229" s="132" t="e">
        <f t="shared" ca="1" si="62"/>
        <v>#NUM!</v>
      </c>
      <c r="I229" s="131" t="e">
        <f t="shared" ca="1" si="63"/>
        <v>#NUM!</v>
      </c>
      <c r="J229" s="66"/>
      <c r="K229" s="11"/>
      <c r="L229" s="11"/>
      <c r="M229" s="6" t="e">
        <f t="shared" ca="1" si="64"/>
        <v>#NUM!</v>
      </c>
      <c r="N229" s="40" t="str">
        <f t="shared" si="55"/>
        <v>211기 보수</v>
      </c>
      <c r="O229" s="38" t="e">
        <f t="shared" ca="1" si="65"/>
        <v>#NUM!</v>
      </c>
      <c r="P229" s="38" t="e">
        <f t="shared" ca="1" si="66"/>
        <v>#NAME?</v>
      </c>
      <c r="Q229" s="38" t="e">
        <f t="shared" ca="1" si="67"/>
        <v>#NUM!</v>
      </c>
      <c r="R229" s="38" t="e">
        <f t="shared" ca="1" si="68"/>
        <v>#NUM!</v>
      </c>
      <c r="S229" s="38" t="e">
        <f t="shared" ca="1" si="69"/>
        <v>#NUM!</v>
      </c>
      <c r="T229" s="38" t="e">
        <f t="shared" ca="1" si="70"/>
        <v>#NUM!</v>
      </c>
    </row>
    <row r="230" spans="1:20" ht="20.25" customHeight="1">
      <c r="A230" s="62"/>
      <c r="B230" s="6" t="e">
        <f t="shared" ca="1" si="56"/>
        <v>#NUM!</v>
      </c>
      <c r="C230" s="117" t="e">
        <f t="shared" ca="1" si="57"/>
        <v>#NUM!</v>
      </c>
      <c r="D230" s="131" t="e">
        <f t="shared" ca="1" si="58"/>
        <v>#NUM!</v>
      </c>
      <c r="E230" s="131" t="e">
        <f t="shared" ca="1" si="59"/>
        <v>#NUM!</v>
      </c>
      <c r="F230" s="137" t="e">
        <f t="shared" ca="1" si="60"/>
        <v>#NUM!</v>
      </c>
      <c r="G230" s="132" t="e">
        <f t="shared" ca="1" si="61"/>
        <v>#NUM!</v>
      </c>
      <c r="H230" s="132" t="e">
        <f t="shared" ca="1" si="62"/>
        <v>#NUM!</v>
      </c>
      <c r="I230" s="131" t="e">
        <f t="shared" ca="1" si="63"/>
        <v>#NUM!</v>
      </c>
      <c r="J230" s="66"/>
      <c r="K230" s="11"/>
      <c r="L230" s="11"/>
      <c r="M230" s="6" t="e">
        <f t="shared" ca="1" si="64"/>
        <v>#NUM!</v>
      </c>
      <c r="N230" s="40" t="str">
        <f t="shared" si="55"/>
        <v>212기 보수</v>
      </c>
      <c r="O230" s="38" t="e">
        <f t="shared" ca="1" si="65"/>
        <v>#NUM!</v>
      </c>
      <c r="P230" s="38" t="e">
        <f t="shared" ca="1" si="66"/>
        <v>#NAME?</v>
      </c>
      <c r="Q230" s="38" t="e">
        <f t="shared" ca="1" si="67"/>
        <v>#NUM!</v>
      </c>
      <c r="R230" s="38" t="e">
        <f t="shared" ca="1" si="68"/>
        <v>#NUM!</v>
      </c>
      <c r="S230" s="38" t="e">
        <f t="shared" ca="1" si="69"/>
        <v>#NUM!</v>
      </c>
      <c r="T230" s="38" t="e">
        <f t="shared" ca="1" si="70"/>
        <v>#NUM!</v>
      </c>
    </row>
    <row r="231" spans="1:20" ht="20.25" customHeight="1">
      <c r="A231" s="62"/>
      <c r="B231" s="6" t="e">
        <f t="shared" ca="1" si="56"/>
        <v>#NUM!</v>
      </c>
      <c r="C231" s="117" t="e">
        <f t="shared" ca="1" si="57"/>
        <v>#NUM!</v>
      </c>
      <c r="D231" s="131" t="e">
        <f t="shared" ca="1" si="58"/>
        <v>#NUM!</v>
      </c>
      <c r="E231" s="131" t="e">
        <f t="shared" ca="1" si="59"/>
        <v>#NUM!</v>
      </c>
      <c r="F231" s="137" t="e">
        <f t="shared" ca="1" si="60"/>
        <v>#NUM!</v>
      </c>
      <c r="G231" s="132" t="e">
        <f t="shared" ca="1" si="61"/>
        <v>#NUM!</v>
      </c>
      <c r="H231" s="132" t="e">
        <f t="shared" ca="1" si="62"/>
        <v>#NUM!</v>
      </c>
      <c r="I231" s="131" t="e">
        <f t="shared" ca="1" si="63"/>
        <v>#NUM!</v>
      </c>
      <c r="J231" s="66"/>
      <c r="K231" s="11"/>
      <c r="L231" s="11"/>
      <c r="M231" s="6" t="e">
        <f t="shared" ca="1" si="64"/>
        <v>#NUM!</v>
      </c>
      <c r="N231" s="40" t="str">
        <f t="shared" si="55"/>
        <v>213기 보수</v>
      </c>
      <c r="O231" s="38" t="e">
        <f t="shared" ca="1" si="65"/>
        <v>#NUM!</v>
      </c>
      <c r="P231" s="38" t="e">
        <f t="shared" ca="1" si="66"/>
        <v>#NAME?</v>
      </c>
      <c r="Q231" s="38" t="e">
        <f t="shared" ca="1" si="67"/>
        <v>#NUM!</v>
      </c>
      <c r="R231" s="38" t="e">
        <f t="shared" ca="1" si="68"/>
        <v>#NUM!</v>
      </c>
      <c r="S231" s="38" t="e">
        <f t="shared" ca="1" si="69"/>
        <v>#NUM!</v>
      </c>
      <c r="T231" s="38" t="e">
        <f t="shared" ca="1" si="70"/>
        <v>#NUM!</v>
      </c>
    </row>
    <row r="232" spans="1:20" ht="20.25" customHeight="1">
      <c r="A232" s="62"/>
      <c r="B232" s="6" t="e">
        <f t="shared" ca="1" si="56"/>
        <v>#NUM!</v>
      </c>
      <c r="C232" s="117" t="e">
        <f t="shared" ca="1" si="57"/>
        <v>#NUM!</v>
      </c>
      <c r="D232" s="131" t="e">
        <f t="shared" ca="1" si="58"/>
        <v>#NUM!</v>
      </c>
      <c r="E232" s="131" t="e">
        <f t="shared" ca="1" si="59"/>
        <v>#NUM!</v>
      </c>
      <c r="F232" s="137" t="e">
        <f t="shared" ca="1" si="60"/>
        <v>#NUM!</v>
      </c>
      <c r="G232" s="132" t="e">
        <f t="shared" ca="1" si="61"/>
        <v>#NUM!</v>
      </c>
      <c r="H232" s="132" t="e">
        <f t="shared" ca="1" si="62"/>
        <v>#NUM!</v>
      </c>
      <c r="I232" s="131" t="e">
        <f t="shared" ca="1" si="63"/>
        <v>#NUM!</v>
      </c>
      <c r="J232" s="66"/>
      <c r="K232" s="11"/>
      <c r="L232" s="11"/>
      <c r="M232" s="6" t="e">
        <f t="shared" ca="1" si="64"/>
        <v>#NUM!</v>
      </c>
      <c r="N232" s="40" t="str">
        <f t="shared" si="55"/>
        <v>214기 보수</v>
      </c>
      <c r="O232" s="38" t="e">
        <f t="shared" ca="1" si="65"/>
        <v>#NUM!</v>
      </c>
      <c r="P232" s="38" t="e">
        <f t="shared" ca="1" si="66"/>
        <v>#NAME?</v>
      </c>
      <c r="Q232" s="38" t="e">
        <f t="shared" ca="1" si="67"/>
        <v>#NUM!</v>
      </c>
      <c r="R232" s="38" t="e">
        <f t="shared" ca="1" si="68"/>
        <v>#NUM!</v>
      </c>
      <c r="S232" s="38" t="e">
        <f t="shared" ca="1" si="69"/>
        <v>#NUM!</v>
      </c>
      <c r="T232" s="38" t="e">
        <f t="shared" ca="1" si="70"/>
        <v>#NUM!</v>
      </c>
    </row>
    <row r="233" spans="1:20" ht="20.25" customHeight="1">
      <c r="A233" s="62"/>
      <c r="B233" s="6" t="e">
        <f t="shared" ca="1" si="56"/>
        <v>#NUM!</v>
      </c>
      <c r="C233" s="117" t="e">
        <f t="shared" ca="1" si="57"/>
        <v>#NUM!</v>
      </c>
      <c r="D233" s="131" t="e">
        <f t="shared" ca="1" si="58"/>
        <v>#NUM!</v>
      </c>
      <c r="E233" s="131" t="e">
        <f t="shared" ca="1" si="59"/>
        <v>#NUM!</v>
      </c>
      <c r="F233" s="137" t="e">
        <f t="shared" ca="1" si="60"/>
        <v>#NUM!</v>
      </c>
      <c r="G233" s="132" t="e">
        <f t="shared" ca="1" si="61"/>
        <v>#NUM!</v>
      </c>
      <c r="H233" s="132" t="e">
        <f t="shared" ca="1" si="62"/>
        <v>#NUM!</v>
      </c>
      <c r="I233" s="131" t="e">
        <f t="shared" ca="1" si="63"/>
        <v>#NUM!</v>
      </c>
      <c r="J233" s="66"/>
      <c r="K233" s="11"/>
      <c r="L233" s="11"/>
      <c r="M233" s="6" t="e">
        <f t="shared" ca="1" si="64"/>
        <v>#NUM!</v>
      </c>
      <c r="N233" s="40" t="str">
        <f t="shared" si="55"/>
        <v>215기 보수</v>
      </c>
      <c r="O233" s="38" t="e">
        <f t="shared" ca="1" si="65"/>
        <v>#NUM!</v>
      </c>
      <c r="P233" s="38" t="e">
        <f t="shared" ca="1" si="66"/>
        <v>#NAME?</v>
      </c>
      <c r="Q233" s="38" t="e">
        <f t="shared" ca="1" si="67"/>
        <v>#NUM!</v>
      </c>
      <c r="R233" s="38" t="e">
        <f t="shared" ca="1" si="68"/>
        <v>#NUM!</v>
      </c>
      <c r="S233" s="38" t="e">
        <f t="shared" ca="1" si="69"/>
        <v>#NUM!</v>
      </c>
      <c r="T233" s="38" t="e">
        <f t="shared" ca="1" si="70"/>
        <v>#NUM!</v>
      </c>
    </row>
    <row r="234" spans="1:20" ht="20.25" customHeight="1">
      <c r="A234" s="62"/>
      <c r="B234" s="6" t="e">
        <f t="shared" ca="1" si="56"/>
        <v>#NUM!</v>
      </c>
      <c r="C234" s="117" t="e">
        <f t="shared" ca="1" si="57"/>
        <v>#NUM!</v>
      </c>
      <c r="D234" s="131" t="e">
        <f t="shared" ca="1" si="58"/>
        <v>#NUM!</v>
      </c>
      <c r="E234" s="131" t="e">
        <f t="shared" ca="1" si="59"/>
        <v>#NUM!</v>
      </c>
      <c r="F234" s="137" t="e">
        <f t="shared" ca="1" si="60"/>
        <v>#NUM!</v>
      </c>
      <c r="G234" s="132" t="e">
        <f t="shared" ca="1" si="61"/>
        <v>#NUM!</v>
      </c>
      <c r="H234" s="132" t="e">
        <f t="shared" ca="1" si="62"/>
        <v>#NUM!</v>
      </c>
      <c r="I234" s="131" t="e">
        <f t="shared" ca="1" si="63"/>
        <v>#NUM!</v>
      </c>
      <c r="J234" s="66"/>
      <c r="K234" s="11"/>
      <c r="L234" s="11"/>
      <c r="M234" s="6" t="e">
        <f t="shared" ca="1" si="64"/>
        <v>#NUM!</v>
      </c>
      <c r="N234" s="40" t="str">
        <f t="shared" si="55"/>
        <v>216기 보수</v>
      </c>
      <c r="O234" s="38" t="e">
        <f t="shared" ca="1" si="65"/>
        <v>#NUM!</v>
      </c>
      <c r="P234" s="38" t="e">
        <f t="shared" ca="1" si="66"/>
        <v>#NAME?</v>
      </c>
      <c r="Q234" s="38" t="e">
        <f t="shared" ca="1" si="67"/>
        <v>#NUM!</v>
      </c>
      <c r="R234" s="38" t="e">
        <f t="shared" ca="1" si="68"/>
        <v>#NUM!</v>
      </c>
      <c r="S234" s="38" t="e">
        <f t="shared" ca="1" si="69"/>
        <v>#NUM!</v>
      </c>
      <c r="T234" s="38" t="e">
        <f t="shared" ca="1" si="70"/>
        <v>#NUM!</v>
      </c>
    </row>
    <row r="235" spans="1:20" ht="20.25" customHeight="1">
      <c r="A235" s="62"/>
      <c r="B235" s="6" t="e">
        <f t="shared" ca="1" si="56"/>
        <v>#NUM!</v>
      </c>
      <c r="C235" s="117" t="e">
        <f t="shared" ca="1" si="57"/>
        <v>#NUM!</v>
      </c>
      <c r="D235" s="131" t="e">
        <f t="shared" ca="1" si="58"/>
        <v>#NUM!</v>
      </c>
      <c r="E235" s="131" t="e">
        <f t="shared" ca="1" si="59"/>
        <v>#NUM!</v>
      </c>
      <c r="F235" s="137" t="e">
        <f t="shared" ca="1" si="60"/>
        <v>#NUM!</v>
      </c>
      <c r="G235" s="132" t="e">
        <f t="shared" ca="1" si="61"/>
        <v>#NUM!</v>
      </c>
      <c r="H235" s="132" t="e">
        <f t="shared" ca="1" si="62"/>
        <v>#NUM!</v>
      </c>
      <c r="I235" s="131" t="e">
        <f t="shared" ca="1" si="63"/>
        <v>#NUM!</v>
      </c>
      <c r="J235" s="66"/>
      <c r="K235" s="11"/>
      <c r="L235" s="11"/>
      <c r="M235" s="6" t="e">
        <f t="shared" ca="1" si="64"/>
        <v>#NUM!</v>
      </c>
      <c r="N235" s="40" t="str">
        <f t="shared" si="55"/>
        <v>217기 보수</v>
      </c>
      <c r="O235" s="38" t="e">
        <f t="shared" ca="1" si="65"/>
        <v>#NUM!</v>
      </c>
      <c r="P235" s="38" t="e">
        <f t="shared" ca="1" si="66"/>
        <v>#NAME?</v>
      </c>
      <c r="Q235" s="38" t="e">
        <f t="shared" ca="1" si="67"/>
        <v>#NUM!</v>
      </c>
      <c r="R235" s="38" t="e">
        <f t="shared" ca="1" si="68"/>
        <v>#NUM!</v>
      </c>
      <c r="S235" s="38" t="e">
        <f t="shared" ca="1" si="69"/>
        <v>#NUM!</v>
      </c>
      <c r="T235" s="38" t="e">
        <f t="shared" ca="1" si="70"/>
        <v>#NUM!</v>
      </c>
    </row>
    <row r="236" spans="1:20" ht="20.25" customHeight="1">
      <c r="A236" s="62"/>
      <c r="B236" s="6" t="e">
        <f t="shared" ca="1" si="56"/>
        <v>#NUM!</v>
      </c>
      <c r="C236" s="117" t="e">
        <f t="shared" ca="1" si="57"/>
        <v>#NUM!</v>
      </c>
      <c r="D236" s="131" t="e">
        <f t="shared" ca="1" si="58"/>
        <v>#NUM!</v>
      </c>
      <c r="E236" s="131" t="e">
        <f t="shared" ca="1" si="59"/>
        <v>#NUM!</v>
      </c>
      <c r="F236" s="137" t="e">
        <f t="shared" ca="1" si="60"/>
        <v>#NUM!</v>
      </c>
      <c r="G236" s="132" t="e">
        <f t="shared" ca="1" si="61"/>
        <v>#NUM!</v>
      </c>
      <c r="H236" s="132" t="e">
        <f t="shared" ca="1" si="62"/>
        <v>#NUM!</v>
      </c>
      <c r="I236" s="131" t="e">
        <f t="shared" ca="1" si="63"/>
        <v>#NUM!</v>
      </c>
      <c r="J236" s="66"/>
      <c r="K236" s="11"/>
      <c r="L236" s="11"/>
      <c r="M236" s="6" t="e">
        <f t="shared" ca="1" si="64"/>
        <v>#NUM!</v>
      </c>
      <c r="N236" s="40" t="str">
        <f t="shared" si="55"/>
        <v>218기 보수</v>
      </c>
      <c r="O236" s="38" t="e">
        <f t="shared" ca="1" si="65"/>
        <v>#NUM!</v>
      </c>
      <c r="P236" s="38" t="e">
        <f t="shared" ca="1" si="66"/>
        <v>#NAME?</v>
      </c>
      <c r="Q236" s="38" t="e">
        <f t="shared" ca="1" si="67"/>
        <v>#NUM!</v>
      </c>
      <c r="R236" s="38" t="e">
        <f t="shared" ca="1" si="68"/>
        <v>#NUM!</v>
      </c>
      <c r="S236" s="38" t="e">
        <f t="shared" ca="1" si="69"/>
        <v>#NUM!</v>
      </c>
      <c r="T236" s="38" t="e">
        <f t="shared" ca="1" si="70"/>
        <v>#NUM!</v>
      </c>
    </row>
    <row r="237" spans="1:20" ht="20.25" customHeight="1">
      <c r="A237" s="62"/>
      <c r="B237" s="6" t="e">
        <f t="shared" ca="1" si="56"/>
        <v>#NUM!</v>
      </c>
      <c r="C237" s="117" t="e">
        <f t="shared" ca="1" si="57"/>
        <v>#NUM!</v>
      </c>
      <c r="D237" s="131" t="e">
        <f t="shared" ca="1" si="58"/>
        <v>#NUM!</v>
      </c>
      <c r="E237" s="131" t="e">
        <f t="shared" ca="1" si="59"/>
        <v>#NUM!</v>
      </c>
      <c r="F237" s="137" t="e">
        <f t="shared" ca="1" si="60"/>
        <v>#NUM!</v>
      </c>
      <c r="G237" s="132" t="e">
        <f t="shared" ca="1" si="61"/>
        <v>#NUM!</v>
      </c>
      <c r="H237" s="132" t="e">
        <f t="shared" ca="1" si="62"/>
        <v>#NUM!</v>
      </c>
      <c r="I237" s="131" t="e">
        <f t="shared" ca="1" si="63"/>
        <v>#NUM!</v>
      </c>
      <c r="J237" s="66"/>
      <c r="K237" s="11"/>
      <c r="L237" s="11"/>
      <c r="M237" s="6" t="e">
        <f t="shared" ca="1" si="64"/>
        <v>#NUM!</v>
      </c>
      <c r="N237" s="40" t="str">
        <f t="shared" si="55"/>
        <v>219기 보수</v>
      </c>
      <c r="O237" s="38" t="e">
        <f t="shared" ca="1" si="65"/>
        <v>#NUM!</v>
      </c>
      <c r="P237" s="38" t="e">
        <f t="shared" ca="1" si="66"/>
        <v>#NAME?</v>
      </c>
      <c r="Q237" s="38" t="e">
        <f t="shared" ca="1" si="67"/>
        <v>#NUM!</v>
      </c>
      <c r="R237" s="38" t="e">
        <f t="shared" ca="1" si="68"/>
        <v>#NUM!</v>
      </c>
      <c r="S237" s="38" t="e">
        <f t="shared" ca="1" si="69"/>
        <v>#NUM!</v>
      </c>
      <c r="T237" s="38" t="e">
        <f t="shared" ca="1" si="70"/>
        <v>#NUM!</v>
      </c>
    </row>
    <row r="238" spans="1:20" ht="20.25" customHeight="1">
      <c r="A238" s="62"/>
      <c r="B238" s="6" t="e">
        <f t="shared" ca="1" si="56"/>
        <v>#NUM!</v>
      </c>
      <c r="C238" s="117" t="e">
        <f t="shared" ca="1" si="57"/>
        <v>#NUM!</v>
      </c>
      <c r="D238" s="131" t="e">
        <f t="shared" ca="1" si="58"/>
        <v>#NUM!</v>
      </c>
      <c r="E238" s="131" t="e">
        <f t="shared" ca="1" si="59"/>
        <v>#NUM!</v>
      </c>
      <c r="F238" s="137" t="e">
        <f t="shared" ca="1" si="60"/>
        <v>#NUM!</v>
      </c>
      <c r="G238" s="132" t="e">
        <f t="shared" ca="1" si="61"/>
        <v>#NUM!</v>
      </c>
      <c r="H238" s="132" t="e">
        <f t="shared" ca="1" si="62"/>
        <v>#NUM!</v>
      </c>
      <c r="I238" s="131" t="e">
        <f t="shared" ca="1" si="63"/>
        <v>#NUM!</v>
      </c>
      <c r="J238" s="66"/>
      <c r="K238" s="11"/>
      <c r="L238" s="11"/>
      <c r="M238" s="6" t="e">
        <f t="shared" ca="1" si="64"/>
        <v>#NUM!</v>
      </c>
      <c r="N238" s="40" t="str">
        <f t="shared" si="55"/>
        <v>220기 보수</v>
      </c>
      <c r="O238" s="38" t="e">
        <f t="shared" ca="1" si="65"/>
        <v>#NUM!</v>
      </c>
      <c r="P238" s="38" t="e">
        <f t="shared" ca="1" si="66"/>
        <v>#NAME?</v>
      </c>
      <c r="Q238" s="38" t="e">
        <f t="shared" ca="1" si="67"/>
        <v>#NUM!</v>
      </c>
      <c r="R238" s="38" t="e">
        <f t="shared" ca="1" si="68"/>
        <v>#NUM!</v>
      </c>
      <c r="S238" s="38" t="e">
        <f t="shared" ca="1" si="69"/>
        <v>#NUM!</v>
      </c>
      <c r="T238" s="38" t="e">
        <f t="shared" ca="1" si="70"/>
        <v>#NUM!</v>
      </c>
    </row>
    <row r="239" spans="1:20" ht="20.25" customHeight="1">
      <c r="A239" s="62"/>
      <c r="B239" s="6" t="e">
        <f t="shared" ca="1" si="56"/>
        <v>#NUM!</v>
      </c>
      <c r="C239" s="117" t="e">
        <f t="shared" ca="1" si="57"/>
        <v>#NUM!</v>
      </c>
      <c r="D239" s="131" t="e">
        <f t="shared" ca="1" si="58"/>
        <v>#NUM!</v>
      </c>
      <c r="E239" s="131" t="e">
        <f t="shared" ca="1" si="59"/>
        <v>#NUM!</v>
      </c>
      <c r="F239" s="137" t="e">
        <f t="shared" ca="1" si="60"/>
        <v>#NUM!</v>
      </c>
      <c r="G239" s="132" t="e">
        <f t="shared" ca="1" si="61"/>
        <v>#NUM!</v>
      </c>
      <c r="H239" s="132" t="e">
        <f t="shared" ca="1" si="62"/>
        <v>#NUM!</v>
      </c>
      <c r="I239" s="131" t="e">
        <f t="shared" ca="1" si="63"/>
        <v>#NUM!</v>
      </c>
      <c r="J239" s="66"/>
      <c r="K239" s="11"/>
      <c r="L239" s="11"/>
      <c r="M239" s="6" t="e">
        <f t="shared" ca="1" si="64"/>
        <v>#NUM!</v>
      </c>
      <c r="N239" s="40" t="str">
        <f t="shared" si="55"/>
        <v>221기 보수</v>
      </c>
      <c r="O239" s="38" t="e">
        <f t="shared" ca="1" si="65"/>
        <v>#NUM!</v>
      </c>
      <c r="P239" s="38" t="e">
        <f t="shared" ca="1" si="66"/>
        <v>#NAME?</v>
      </c>
      <c r="Q239" s="38" t="e">
        <f t="shared" ca="1" si="67"/>
        <v>#NUM!</v>
      </c>
      <c r="R239" s="38" t="e">
        <f t="shared" ca="1" si="68"/>
        <v>#NUM!</v>
      </c>
      <c r="S239" s="38" t="e">
        <f t="shared" ca="1" si="69"/>
        <v>#NUM!</v>
      </c>
      <c r="T239" s="38" t="e">
        <f t="shared" ca="1" si="70"/>
        <v>#NUM!</v>
      </c>
    </row>
    <row r="240" spans="1:20" ht="20.25" customHeight="1">
      <c r="A240" s="62"/>
      <c r="B240" s="6" t="e">
        <f t="shared" ca="1" si="56"/>
        <v>#NUM!</v>
      </c>
      <c r="C240" s="117" t="e">
        <f t="shared" ca="1" si="57"/>
        <v>#NUM!</v>
      </c>
      <c r="D240" s="131" t="e">
        <f t="shared" ca="1" si="58"/>
        <v>#NUM!</v>
      </c>
      <c r="E240" s="131" t="e">
        <f t="shared" ca="1" si="59"/>
        <v>#NUM!</v>
      </c>
      <c r="F240" s="137" t="e">
        <f t="shared" ca="1" si="60"/>
        <v>#NUM!</v>
      </c>
      <c r="G240" s="132" t="e">
        <f t="shared" ca="1" si="61"/>
        <v>#NUM!</v>
      </c>
      <c r="H240" s="132" t="e">
        <f t="shared" ca="1" si="62"/>
        <v>#NUM!</v>
      </c>
      <c r="I240" s="131" t="e">
        <f t="shared" ca="1" si="63"/>
        <v>#NUM!</v>
      </c>
      <c r="J240" s="66"/>
      <c r="K240" s="11"/>
      <c r="L240" s="11"/>
      <c r="M240" s="6" t="e">
        <f t="shared" ca="1" si="64"/>
        <v>#NUM!</v>
      </c>
      <c r="N240" s="40" t="str">
        <f t="shared" si="55"/>
        <v>222기 보수</v>
      </c>
      <c r="O240" s="38" t="e">
        <f t="shared" ca="1" si="65"/>
        <v>#NUM!</v>
      </c>
      <c r="P240" s="38" t="e">
        <f t="shared" ca="1" si="66"/>
        <v>#NAME?</v>
      </c>
      <c r="Q240" s="38" t="e">
        <f t="shared" ca="1" si="67"/>
        <v>#NUM!</v>
      </c>
      <c r="R240" s="38" t="e">
        <f t="shared" ca="1" si="68"/>
        <v>#NUM!</v>
      </c>
      <c r="S240" s="38" t="e">
        <f t="shared" ca="1" si="69"/>
        <v>#NUM!</v>
      </c>
      <c r="T240" s="38" t="e">
        <f t="shared" ca="1" si="70"/>
        <v>#NUM!</v>
      </c>
    </row>
    <row r="241" spans="1:20" ht="20.25" customHeight="1">
      <c r="A241" s="62"/>
      <c r="B241" s="6" t="e">
        <f t="shared" ca="1" si="56"/>
        <v>#NUM!</v>
      </c>
      <c r="C241" s="117" t="e">
        <f t="shared" ca="1" si="57"/>
        <v>#NUM!</v>
      </c>
      <c r="D241" s="131" t="e">
        <f t="shared" ca="1" si="58"/>
        <v>#NUM!</v>
      </c>
      <c r="E241" s="131" t="e">
        <f t="shared" ca="1" si="59"/>
        <v>#NUM!</v>
      </c>
      <c r="F241" s="137" t="e">
        <f t="shared" ca="1" si="60"/>
        <v>#NUM!</v>
      </c>
      <c r="G241" s="132" t="e">
        <f t="shared" ca="1" si="61"/>
        <v>#NUM!</v>
      </c>
      <c r="H241" s="132" t="e">
        <f t="shared" ca="1" si="62"/>
        <v>#NUM!</v>
      </c>
      <c r="I241" s="131" t="e">
        <f t="shared" ca="1" si="63"/>
        <v>#NUM!</v>
      </c>
      <c r="J241" s="66"/>
      <c r="K241" s="11"/>
      <c r="L241" s="11"/>
      <c r="M241" s="6" t="e">
        <f t="shared" ca="1" si="64"/>
        <v>#NUM!</v>
      </c>
      <c r="N241" s="40" t="str">
        <f t="shared" si="55"/>
        <v>223기 보수</v>
      </c>
      <c r="O241" s="38" t="e">
        <f t="shared" ca="1" si="65"/>
        <v>#NUM!</v>
      </c>
      <c r="P241" s="38" t="e">
        <f t="shared" ca="1" si="66"/>
        <v>#NAME?</v>
      </c>
      <c r="Q241" s="38" t="e">
        <f t="shared" ca="1" si="67"/>
        <v>#NUM!</v>
      </c>
      <c r="R241" s="38" t="e">
        <f t="shared" ca="1" si="68"/>
        <v>#NUM!</v>
      </c>
      <c r="S241" s="38" t="e">
        <f t="shared" ca="1" si="69"/>
        <v>#NUM!</v>
      </c>
      <c r="T241" s="38" t="e">
        <f t="shared" ca="1" si="70"/>
        <v>#NUM!</v>
      </c>
    </row>
    <row r="242" spans="1:20" ht="20.25" customHeight="1">
      <c r="A242" s="62"/>
      <c r="B242" s="6" t="e">
        <f t="shared" ca="1" si="56"/>
        <v>#NUM!</v>
      </c>
      <c r="C242" s="117" t="e">
        <f t="shared" ca="1" si="57"/>
        <v>#NUM!</v>
      </c>
      <c r="D242" s="131" t="e">
        <f t="shared" ca="1" si="58"/>
        <v>#NUM!</v>
      </c>
      <c r="E242" s="131" t="e">
        <f t="shared" ca="1" si="59"/>
        <v>#NUM!</v>
      </c>
      <c r="F242" s="137" t="e">
        <f t="shared" ca="1" si="60"/>
        <v>#NUM!</v>
      </c>
      <c r="G242" s="132" t="e">
        <f t="shared" ca="1" si="61"/>
        <v>#NUM!</v>
      </c>
      <c r="H242" s="132" t="e">
        <f t="shared" ca="1" si="62"/>
        <v>#NUM!</v>
      </c>
      <c r="I242" s="131" t="e">
        <f t="shared" ca="1" si="63"/>
        <v>#NUM!</v>
      </c>
      <c r="J242" s="66"/>
      <c r="K242" s="11"/>
      <c r="L242" s="11"/>
      <c r="M242" s="6" t="e">
        <f t="shared" ca="1" si="64"/>
        <v>#NUM!</v>
      </c>
      <c r="N242" s="40" t="str">
        <f t="shared" si="55"/>
        <v>224기 보수</v>
      </c>
      <c r="O242" s="38" t="e">
        <f t="shared" ca="1" si="65"/>
        <v>#NUM!</v>
      </c>
      <c r="P242" s="38" t="e">
        <f t="shared" ca="1" si="66"/>
        <v>#NAME?</v>
      </c>
      <c r="Q242" s="38" t="e">
        <f t="shared" ca="1" si="67"/>
        <v>#NUM!</v>
      </c>
      <c r="R242" s="38" t="e">
        <f t="shared" ca="1" si="68"/>
        <v>#NUM!</v>
      </c>
      <c r="S242" s="38" t="e">
        <f t="shared" ca="1" si="69"/>
        <v>#NUM!</v>
      </c>
      <c r="T242" s="38" t="e">
        <f t="shared" ca="1" si="70"/>
        <v>#NUM!</v>
      </c>
    </row>
    <row r="243" spans="1:20" ht="20.25" customHeight="1">
      <c r="A243" s="62"/>
      <c r="B243" s="6" t="e">
        <f t="shared" ca="1" si="56"/>
        <v>#NUM!</v>
      </c>
      <c r="C243" s="117" t="e">
        <f t="shared" ca="1" si="57"/>
        <v>#NUM!</v>
      </c>
      <c r="D243" s="131" t="e">
        <f t="shared" ca="1" si="58"/>
        <v>#NUM!</v>
      </c>
      <c r="E243" s="131" t="e">
        <f t="shared" ca="1" si="59"/>
        <v>#NUM!</v>
      </c>
      <c r="F243" s="137" t="e">
        <f t="shared" ca="1" si="60"/>
        <v>#NUM!</v>
      </c>
      <c r="G243" s="132" t="e">
        <f t="shared" ca="1" si="61"/>
        <v>#NUM!</v>
      </c>
      <c r="H243" s="132" t="e">
        <f t="shared" ca="1" si="62"/>
        <v>#NUM!</v>
      </c>
      <c r="I243" s="131" t="e">
        <f t="shared" ca="1" si="63"/>
        <v>#NUM!</v>
      </c>
      <c r="J243" s="66"/>
      <c r="K243" s="11"/>
      <c r="L243" s="11"/>
      <c r="M243" s="6" t="e">
        <f t="shared" ca="1" si="64"/>
        <v>#NUM!</v>
      </c>
      <c r="N243" s="40" t="str">
        <f t="shared" si="55"/>
        <v>225기 보수</v>
      </c>
      <c r="O243" s="38" t="e">
        <f t="shared" ca="1" si="65"/>
        <v>#NUM!</v>
      </c>
      <c r="P243" s="38" t="e">
        <f t="shared" ca="1" si="66"/>
        <v>#NAME?</v>
      </c>
      <c r="Q243" s="38" t="e">
        <f t="shared" ca="1" si="67"/>
        <v>#NUM!</v>
      </c>
      <c r="R243" s="38" t="e">
        <f t="shared" ca="1" si="68"/>
        <v>#NUM!</v>
      </c>
      <c r="S243" s="38" t="e">
        <f t="shared" ca="1" si="69"/>
        <v>#NUM!</v>
      </c>
      <c r="T243" s="38" t="e">
        <f t="shared" ca="1" si="70"/>
        <v>#NUM!</v>
      </c>
    </row>
    <row r="244" spans="1:20" ht="20.25" customHeight="1">
      <c r="A244" s="62"/>
      <c r="B244" s="6" t="e">
        <f t="shared" ca="1" si="56"/>
        <v>#NUM!</v>
      </c>
      <c r="C244" s="117" t="e">
        <f t="shared" ca="1" si="57"/>
        <v>#NUM!</v>
      </c>
      <c r="D244" s="131" t="e">
        <f t="shared" ca="1" si="58"/>
        <v>#NUM!</v>
      </c>
      <c r="E244" s="131" t="e">
        <f t="shared" ca="1" si="59"/>
        <v>#NUM!</v>
      </c>
      <c r="F244" s="137" t="e">
        <f t="shared" ca="1" si="60"/>
        <v>#NUM!</v>
      </c>
      <c r="G244" s="132" t="e">
        <f t="shared" ca="1" si="61"/>
        <v>#NUM!</v>
      </c>
      <c r="H244" s="132" t="e">
        <f t="shared" ca="1" si="62"/>
        <v>#NUM!</v>
      </c>
      <c r="I244" s="131" t="e">
        <f t="shared" ca="1" si="63"/>
        <v>#NUM!</v>
      </c>
      <c r="J244" s="66"/>
      <c r="K244" s="11"/>
      <c r="L244" s="11"/>
      <c r="M244" s="6" t="e">
        <f t="shared" ca="1" si="64"/>
        <v>#NUM!</v>
      </c>
      <c r="N244" s="40" t="str">
        <f t="shared" si="55"/>
        <v>226기 보수</v>
      </c>
      <c r="O244" s="38" t="e">
        <f t="shared" ca="1" si="65"/>
        <v>#NUM!</v>
      </c>
      <c r="P244" s="38" t="e">
        <f t="shared" ca="1" si="66"/>
        <v>#NAME?</v>
      </c>
      <c r="Q244" s="38" t="e">
        <f t="shared" ca="1" si="67"/>
        <v>#NUM!</v>
      </c>
      <c r="R244" s="38" t="e">
        <f t="shared" ca="1" si="68"/>
        <v>#NUM!</v>
      </c>
      <c r="S244" s="38" t="e">
        <f t="shared" ca="1" si="69"/>
        <v>#NUM!</v>
      </c>
      <c r="T244" s="38" t="e">
        <f t="shared" ca="1" si="70"/>
        <v>#NUM!</v>
      </c>
    </row>
    <row r="245" spans="1:20" ht="20.25" customHeight="1">
      <c r="A245" s="62"/>
      <c r="B245" s="6" t="e">
        <f t="shared" ca="1" si="56"/>
        <v>#NUM!</v>
      </c>
      <c r="C245" s="117" t="e">
        <f t="shared" ca="1" si="57"/>
        <v>#NUM!</v>
      </c>
      <c r="D245" s="131" t="e">
        <f t="shared" ca="1" si="58"/>
        <v>#NUM!</v>
      </c>
      <c r="E245" s="131" t="e">
        <f t="shared" ca="1" si="59"/>
        <v>#NUM!</v>
      </c>
      <c r="F245" s="137" t="e">
        <f t="shared" ca="1" si="60"/>
        <v>#NUM!</v>
      </c>
      <c r="G245" s="132" t="e">
        <f t="shared" ca="1" si="61"/>
        <v>#NUM!</v>
      </c>
      <c r="H245" s="132" t="e">
        <f t="shared" ca="1" si="62"/>
        <v>#NUM!</v>
      </c>
      <c r="I245" s="131" t="e">
        <f t="shared" ca="1" si="63"/>
        <v>#NUM!</v>
      </c>
      <c r="J245" s="66"/>
      <c r="K245" s="11"/>
      <c r="L245" s="11"/>
      <c r="M245" s="6" t="e">
        <f t="shared" ca="1" si="64"/>
        <v>#NUM!</v>
      </c>
      <c r="N245" s="40" t="str">
        <f t="shared" si="55"/>
        <v>227기 보수</v>
      </c>
      <c r="O245" s="38" t="e">
        <f t="shared" ca="1" si="65"/>
        <v>#NUM!</v>
      </c>
      <c r="P245" s="38" t="e">
        <f t="shared" ca="1" si="66"/>
        <v>#NAME?</v>
      </c>
      <c r="Q245" s="38" t="e">
        <f t="shared" ca="1" si="67"/>
        <v>#NUM!</v>
      </c>
      <c r="R245" s="38" t="e">
        <f t="shared" ca="1" si="68"/>
        <v>#NUM!</v>
      </c>
      <c r="S245" s="38" t="e">
        <f t="shared" ca="1" si="69"/>
        <v>#NUM!</v>
      </c>
      <c r="T245" s="38" t="e">
        <f t="shared" ca="1" si="70"/>
        <v>#NUM!</v>
      </c>
    </row>
    <row r="246" spans="1:20" ht="20.25" customHeight="1">
      <c r="A246" s="62"/>
      <c r="B246" s="6" t="e">
        <f t="shared" ca="1" si="56"/>
        <v>#NUM!</v>
      </c>
      <c r="C246" s="117" t="e">
        <f t="shared" ca="1" si="57"/>
        <v>#NUM!</v>
      </c>
      <c r="D246" s="131" t="e">
        <f t="shared" ca="1" si="58"/>
        <v>#NUM!</v>
      </c>
      <c r="E246" s="131" t="e">
        <f t="shared" ca="1" si="59"/>
        <v>#NUM!</v>
      </c>
      <c r="F246" s="137" t="e">
        <f t="shared" ca="1" si="60"/>
        <v>#NUM!</v>
      </c>
      <c r="G246" s="132" t="e">
        <f t="shared" ca="1" si="61"/>
        <v>#NUM!</v>
      </c>
      <c r="H246" s="132" t="e">
        <f t="shared" ca="1" si="62"/>
        <v>#NUM!</v>
      </c>
      <c r="I246" s="131" t="e">
        <f t="shared" ca="1" si="63"/>
        <v>#NUM!</v>
      </c>
      <c r="J246" s="66"/>
      <c r="K246" s="11"/>
      <c r="L246" s="11"/>
      <c r="M246" s="6" t="e">
        <f t="shared" ca="1" si="64"/>
        <v>#NUM!</v>
      </c>
      <c r="N246" s="40" t="str">
        <f t="shared" si="55"/>
        <v>228기 보수</v>
      </c>
      <c r="O246" s="38" t="e">
        <f t="shared" ca="1" si="65"/>
        <v>#NUM!</v>
      </c>
      <c r="P246" s="38" t="e">
        <f t="shared" ca="1" si="66"/>
        <v>#NAME?</v>
      </c>
      <c r="Q246" s="38" t="e">
        <f t="shared" ca="1" si="67"/>
        <v>#NUM!</v>
      </c>
      <c r="R246" s="38" t="e">
        <f t="shared" ca="1" si="68"/>
        <v>#NUM!</v>
      </c>
      <c r="S246" s="38" t="e">
        <f t="shared" ca="1" si="69"/>
        <v>#NUM!</v>
      </c>
      <c r="T246" s="38" t="e">
        <f t="shared" ca="1" si="70"/>
        <v>#NUM!</v>
      </c>
    </row>
    <row r="247" spans="1:20" ht="20.25" customHeight="1">
      <c r="A247" s="62"/>
      <c r="B247" s="6" t="e">
        <f t="shared" ca="1" si="56"/>
        <v>#NUM!</v>
      </c>
      <c r="C247" s="117" t="e">
        <f t="shared" ca="1" si="57"/>
        <v>#NUM!</v>
      </c>
      <c r="D247" s="131" t="e">
        <f t="shared" ca="1" si="58"/>
        <v>#NUM!</v>
      </c>
      <c r="E247" s="131" t="e">
        <f t="shared" ca="1" si="59"/>
        <v>#NUM!</v>
      </c>
      <c r="F247" s="137" t="e">
        <f t="shared" ca="1" si="60"/>
        <v>#NUM!</v>
      </c>
      <c r="G247" s="132" t="e">
        <f t="shared" ca="1" si="61"/>
        <v>#NUM!</v>
      </c>
      <c r="H247" s="132" t="e">
        <f t="shared" ca="1" si="62"/>
        <v>#NUM!</v>
      </c>
      <c r="I247" s="131" t="e">
        <f t="shared" ca="1" si="63"/>
        <v>#NUM!</v>
      </c>
      <c r="J247" s="66"/>
      <c r="K247" s="11"/>
      <c r="L247" s="11"/>
      <c r="M247" s="6" t="e">
        <f t="shared" ca="1" si="64"/>
        <v>#NUM!</v>
      </c>
      <c r="N247" s="40" t="str">
        <f t="shared" si="55"/>
        <v>229기 보수</v>
      </c>
      <c r="O247" s="38" t="e">
        <f t="shared" ca="1" si="65"/>
        <v>#NUM!</v>
      </c>
      <c r="P247" s="38" t="e">
        <f t="shared" ca="1" si="66"/>
        <v>#NAME?</v>
      </c>
      <c r="Q247" s="38" t="e">
        <f t="shared" ca="1" si="67"/>
        <v>#NUM!</v>
      </c>
      <c r="R247" s="38" t="e">
        <f t="shared" ca="1" si="68"/>
        <v>#NUM!</v>
      </c>
      <c r="S247" s="38" t="e">
        <f t="shared" ca="1" si="69"/>
        <v>#NUM!</v>
      </c>
      <c r="T247" s="38" t="e">
        <f t="shared" ca="1" si="70"/>
        <v>#NUM!</v>
      </c>
    </row>
    <row r="248" spans="1:20" ht="20.25" customHeight="1">
      <c r="A248" s="62"/>
      <c r="B248" s="6" t="e">
        <f t="shared" ca="1" si="56"/>
        <v>#NUM!</v>
      </c>
      <c r="C248" s="117" t="e">
        <f t="shared" ca="1" si="57"/>
        <v>#NUM!</v>
      </c>
      <c r="D248" s="131" t="e">
        <f t="shared" ca="1" si="58"/>
        <v>#NUM!</v>
      </c>
      <c r="E248" s="131" t="e">
        <f t="shared" ca="1" si="59"/>
        <v>#NUM!</v>
      </c>
      <c r="F248" s="137" t="e">
        <f t="shared" ca="1" si="60"/>
        <v>#NUM!</v>
      </c>
      <c r="G248" s="132" t="e">
        <f t="shared" ca="1" si="61"/>
        <v>#NUM!</v>
      </c>
      <c r="H248" s="132" t="e">
        <f t="shared" ca="1" si="62"/>
        <v>#NUM!</v>
      </c>
      <c r="I248" s="131" t="e">
        <f t="shared" ca="1" si="63"/>
        <v>#NUM!</v>
      </c>
      <c r="J248" s="66"/>
      <c r="K248" s="11"/>
      <c r="L248" s="11"/>
      <c r="M248" s="6" t="e">
        <f t="shared" ca="1" si="64"/>
        <v>#NUM!</v>
      </c>
      <c r="N248" s="40" t="str">
        <f t="shared" si="55"/>
        <v>230기 보수</v>
      </c>
      <c r="O248" s="38" t="e">
        <f t="shared" ca="1" si="65"/>
        <v>#NUM!</v>
      </c>
      <c r="P248" s="38" t="e">
        <f t="shared" ca="1" si="66"/>
        <v>#NAME?</v>
      </c>
      <c r="Q248" s="38" t="e">
        <f t="shared" ca="1" si="67"/>
        <v>#NUM!</v>
      </c>
      <c r="R248" s="38" t="e">
        <f t="shared" ca="1" si="68"/>
        <v>#NUM!</v>
      </c>
      <c r="S248" s="38" t="e">
        <f t="shared" ca="1" si="69"/>
        <v>#NUM!</v>
      </c>
      <c r="T248" s="38" t="e">
        <f t="shared" ca="1" si="70"/>
        <v>#NUM!</v>
      </c>
    </row>
    <row r="249" spans="1:20" ht="20.25" customHeight="1">
      <c r="A249" s="62"/>
      <c r="B249" s="6" t="e">
        <f t="shared" ca="1" si="56"/>
        <v>#NUM!</v>
      </c>
      <c r="C249" s="117" t="e">
        <f t="shared" ca="1" si="57"/>
        <v>#NUM!</v>
      </c>
      <c r="D249" s="131" t="e">
        <f t="shared" ca="1" si="58"/>
        <v>#NUM!</v>
      </c>
      <c r="E249" s="131" t="e">
        <f t="shared" ca="1" si="59"/>
        <v>#NUM!</v>
      </c>
      <c r="F249" s="137" t="e">
        <f t="shared" ca="1" si="60"/>
        <v>#NUM!</v>
      </c>
      <c r="G249" s="132" t="e">
        <f t="shared" ca="1" si="61"/>
        <v>#NUM!</v>
      </c>
      <c r="H249" s="132" t="e">
        <f t="shared" ca="1" si="62"/>
        <v>#NUM!</v>
      </c>
      <c r="I249" s="131" t="e">
        <f t="shared" ca="1" si="63"/>
        <v>#NUM!</v>
      </c>
      <c r="J249" s="66"/>
      <c r="K249" s="11"/>
      <c r="L249" s="11"/>
      <c r="M249" s="6" t="e">
        <f t="shared" ca="1" si="64"/>
        <v>#NUM!</v>
      </c>
      <c r="N249" s="40" t="str">
        <f t="shared" si="55"/>
        <v>231기 보수</v>
      </c>
      <c r="O249" s="38" t="e">
        <f t="shared" ca="1" si="65"/>
        <v>#NUM!</v>
      </c>
      <c r="P249" s="38" t="e">
        <f t="shared" ca="1" si="66"/>
        <v>#NAME?</v>
      </c>
      <c r="Q249" s="38" t="e">
        <f t="shared" ca="1" si="67"/>
        <v>#NUM!</v>
      </c>
      <c r="R249" s="38" t="e">
        <f t="shared" ca="1" si="68"/>
        <v>#NUM!</v>
      </c>
      <c r="S249" s="38" t="e">
        <f t="shared" ca="1" si="69"/>
        <v>#NUM!</v>
      </c>
      <c r="T249" s="38" t="e">
        <f t="shared" ca="1" si="70"/>
        <v>#NUM!</v>
      </c>
    </row>
    <row r="250" spans="1:20" ht="20.25" customHeight="1">
      <c r="A250" s="62"/>
      <c r="B250" s="6" t="e">
        <f t="shared" ca="1" si="56"/>
        <v>#NUM!</v>
      </c>
      <c r="C250" s="117" t="e">
        <f t="shared" ca="1" si="57"/>
        <v>#NUM!</v>
      </c>
      <c r="D250" s="131" t="e">
        <f t="shared" ca="1" si="58"/>
        <v>#NUM!</v>
      </c>
      <c r="E250" s="131" t="e">
        <f t="shared" ca="1" si="59"/>
        <v>#NUM!</v>
      </c>
      <c r="F250" s="137" t="e">
        <f t="shared" ca="1" si="60"/>
        <v>#NUM!</v>
      </c>
      <c r="G250" s="132" t="e">
        <f t="shared" ca="1" si="61"/>
        <v>#NUM!</v>
      </c>
      <c r="H250" s="132" t="e">
        <f t="shared" ca="1" si="62"/>
        <v>#NUM!</v>
      </c>
      <c r="I250" s="131" t="e">
        <f t="shared" ca="1" si="63"/>
        <v>#NUM!</v>
      </c>
      <c r="J250" s="66"/>
      <c r="K250" s="11"/>
      <c r="L250" s="11"/>
      <c r="M250" s="6" t="e">
        <f t="shared" ca="1" si="64"/>
        <v>#NUM!</v>
      </c>
      <c r="N250" s="40" t="str">
        <f t="shared" si="55"/>
        <v>232기 보수</v>
      </c>
      <c r="O250" s="38" t="e">
        <f t="shared" ca="1" si="65"/>
        <v>#NUM!</v>
      </c>
      <c r="P250" s="38" t="e">
        <f t="shared" ca="1" si="66"/>
        <v>#NAME?</v>
      </c>
      <c r="Q250" s="38" t="e">
        <f t="shared" ca="1" si="67"/>
        <v>#NUM!</v>
      </c>
      <c r="R250" s="38" t="e">
        <f t="shared" ca="1" si="68"/>
        <v>#NUM!</v>
      </c>
      <c r="S250" s="38" t="e">
        <f t="shared" ca="1" si="69"/>
        <v>#NUM!</v>
      </c>
      <c r="T250" s="38" t="e">
        <f t="shared" ca="1" si="70"/>
        <v>#NUM!</v>
      </c>
    </row>
    <row r="251" spans="1:20" ht="20.25" customHeight="1">
      <c r="A251" s="62"/>
      <c r="B251" s="6" t="e">
        <f t="shared" ca="1" si="56"/>
        <v>#NUM!</v>
      </c>
      <c r="C251" s="117" t="e">
        <f t="shared" ca="1" si="57"/>
        <v>#NUM!</v>
      </c>
      <c r="D251" s="131" t="e">
        <f t="shared" ca="1" si="58"/>
        <v>#NUM!</v>
      </c>
      <c r="E251" s="131" t="e">
        <f t="shared" ca="1" si="59"/>
        <v>#NUM!</v>
      </c>
      <c r="F251" s="137" t="e">
        <f t="shared" ca="1" si="60"/>
        <v>#NUM!</v>
      </c>
      <c r="G251" s="132" t="e">
        <f t="shared" ca="1" si="61"/>
        <v>#NUM!</v>
      </c>
      <c r="H251" s="132" t="e">
        <f t="shared" ca="1" si="62"/>
        <v>#NUM!</v>
      </c>
      <c r="I251" s="131" t="e">
        <f t="shared" ca="1" si="63"/>
        <v>#NUM!</v>
      </c>
      <c r="J251" s="66"/>
      <c r="K251" s="11"/>
      <c r="L251" s="11"/>
      <c r="M251" s="6" t="e">
        <f t="shared" ca="1" si="64"/>
        <v>#NUM!</v>
      </c>
      <c r="N251" s="40" t="str">
        <f t="shared" si="55"/>
        <v>233기 보수</v>
      </c>
      <c r="O251" s="38" t="e">
        <f t="shared" ca="1" si="65"/>
        <v>#NUM!</v>
      </c>
      <c r="P251" s="38" t="e">
        <f t="shared" ca="1" si="66"/>
        <v>#NAME?</v>
      </c>
      <c r="Q251" s="38" t="e">
        <f t="shared" ca="1" si="67"/>
        <v>#NUM!</v>
      </c>
      <c r="R251" s="38" t="e">
        <f t="shared" ca="1" si="68"/>
        <v>#NUM!</v>
      </c>
      <c r="S251" s="38" t="e">
        <f t="shared" ca="1" si="69"/>
        <v>#NUM!</v>
      </c>
      <c r="T251" s="38" t="e">
        <f t="shared" ca="1" si="70"/>
        <v>#NUM!</v>
      </c>
    </row>
    <row r="252" spans="1:20" ht="20.25" customHeight="1">
      <c r="A252" s="62"/>
      <c r="B252" s="6" t="e">
        <f t="shared" ca="1" si="56"/>
        <v>#NUM!</v>
      </c>
      <c r="C252" s="117" t="e">
        <f t="shared" ca="1" si="57"/>
        <v>#NUM!</v>
      </c>
      <c r="D252" s="131" t="e">
        <f t="shared" ca="1" si="58"/>
        <v>#NUM!</v>
      </c>
      <c r="E252" s="131" t="e">
        <f t="shared" ca="1" si="59"/>
        <v>#NUM!</v>
      </c>
      <c r="F252" s="137" t="e">
        <f t="shared" ca="1" si="60"/>
        <v>#NUM!</v>
      </c>
      <c r="G252" s="132" t="e">
        <f t="shared" ca="1" si="61"/>
        <v>#NUM!</v>
      </c>
      <c r="H252" s="132" t="e">
        <f t="shared" ca="1" si="62"/>
        <v>#NUM!</v>
      </c>
      <c r="I252" s="131" t="e">
        <f t="shared" ca="1" si="63"/>
        <v>#NUM!</v>
      </c>
      <c r="J252" s="66"/>
      <c r="K252" s="11"/>
      <c r="L252" s="11"/>
      <c r="M252" s="6" t="e">
        <f t="shared" ca="1" si="64"/>
        <v>#NUM!</v>
      </c>
      <c r="N252" s="40" t="str">
        <f t="shared" si="55"/>
        <v>234기 보수</v>
      </c>
      <c r="O252" s="38" t="e">
        <f t="shared" ca="1" si="65"/>
        <v>#NUM!</v>
      </c>
      <c r="P252" s="38" t="e">
        <f t="shared" ca="1" si="66"/>
        <v>#NAME?</v>
      </c>
      <c r="Q252" s="38" t="e">
        <f t="shared" ca="1" si="67"/>
        <v>#NUM!</v>
      </c>
      <c r="R252" s="38" t="e">
        <f t="shared" ca="1" si="68"/>
        <v>#NUM!</v>
      </c>
      <c r="S252" s="38" t="e">
        <f t="shared" ca="1" si="69"/>
        <v>#NUM!</v>
      </c>
      <c r="T252" s="38" t="e">
        <f t="shared" ca="1" si="70"/>
        <v>#NUM!</v>
      </c>
    </row>
    <row r="253" spans="1:20" ht="20.25" customHeight="1">
      <c r="A253" s="62"/>
      <c r="B253" s="6" t="e">
        <f t="shared" ca="1" si="56"/>
        <v>#NUM!</v>
      </c>
      <c r="C253" s="117" t="e">
        <f t="shared" ca="1" si="57"/>
        <v>#NUM!</v>
      </c>
      <c r="D253" s="131" t="e">
        <f t="shared" ca="1" si="58"/>
        <v>#NUM!</v>
      </c>
      <c r="E253" s="131" t="e">
        <f t="shared" ca="1" si="59"/>
        <v>#NUM!</v>
      </c>
      <c r="F253" s="137" t="e">
        <f t="shared" ca="1" si="60"/>
        <v>#NUM!</v>
      </c>
      <c r="G253" s="132" t="e">
        <f t="shared" ca="1" si="61"/>
        <v>#NUM!</v>
      </c>
      <c r="H253" s="132" t="e">
        <f t="shared" ca="1" si="62"/>
        <v>#NUM!</v>
      </c>
      <c r="I253" s="131" t="e">
        <f t="shared" ca="1" si="63"/>
        <v>#NUM!</v>
      </c>
      <c r="J253" s="66"/>
      <c r="K253" s="11"/>
      <c r="L253" s="11"/>
      <c r="M253" s="6" t="e">
        <f t="shared" ca="1" si="64"/>
        <v>#NUM!</v>
      </c>
      <c r="N253" s="40" t="str">
        <f t="shared" si="55"/>
        <v>235기 보수</v>
      </c>
      <c r="O253" s="38" t="e">
        <f t="shared" ca="1" si="65"/>
        <v>#NUM!</v>
      </c>
      <c r="P253" s="38" t="e">
        <f t="shared" ca="1" si="66"/>
        <v>#NAME?</v>
      </c>
      <c r="Q253" s="38" t="e">
        <f t="shared" ca="1" si="67"/>
        <v>#NUM!</v>
      </c>
      <c r="R253" s="38" t="e">
        <f t="shared" ca="1" si="68"/>
        <v>#NUM!</v>
      </c>
      <c r="S253" s="38" t="e">
        <f t="shared" ca="1" si="69"/>
        <v>#NUM!</v>
      </c>
      <c r="T253" s="38" t="e">
        <f t="shared" ca="1" si="70"/>
        <v>#NUM!</v>
      </c>
    </row>
    <row r="254" spans="1:20" ht="20.25" customHeight="1">
      <c r="A254" s="62"/>
      <c r="B254" s="6" t="e">
        <f t="shared" ca="1" si="56"/>
        <v>#NUM!</v>
      </c>
      <c r="C254" s="117" t="e">
        <f t="shared" ca="1" si="57"/>
        <v>#NUM!</v>
      </c>
      <c r="D254" s="131" t="e">
        <f t="shared" ca="1" si="58"/>
        <v>#NUM!</v>
      </c>
      <c r="E254" s="131" t="e">
        <f t="shared" ca="1" si="59"/>
        <v>#NUM!</v>
      </c>
      <c r="F254" s="137" t="e">
        <f t="shared" ca="1" si="60"/>
        <v>#NUM!</v>
      </c>
      <c r="G254" s="132" t="e">
        <f t="shared" ca="1" si="61"/>
        <v>#NUM!</v>
      </c>
      <c r="H254" s="132" t="e">
        <f t="shared" ca="1" si="62"/>
        <v>#NUM!</v>
      </c>
      <c r="I254" s="131" t="e">
        <f t="shared" ca="1" si="63"/>
        <v>#NUM!</v>
      </c>
      <c r="J254" s="66"/>
      <c r="K254" s="11"/>
      <c r="L254" s="11"/>
      <c r="M254" s="6" t="e">
        <f t="shared" ca="1" si="64"/>
        <v>#NUM!</v>
      </c>
      <c r="N254" s="40" t="str">
        <f t="shared" si="55"/>
        <v>236기 보수</v>
      </c>
      <c r="O254" s="38" t="e">
        <f t="shared" ca="1" si="65"/>
        <v>#NUM!</v>
      </c>
      <c r="P254" s="38" t="e">
        <f t="shared" ca="1" si="66"/>
        <v>#NAME?</v>
      </c>
      <c r="Q254" s="38" t="e">
        <f t="shared" ca="1" si="67"/>
        <v>#NUM!</v>
      </c>
      <c r="R254" s="38" t="e">
        <f t="shared" ca="1" si="68"/>
        <v>#NUM!</v>
      </c>
      <c r="S254" s="38" t="e">
        <f t="shared" ca="1" si="69"/>
        <v>#NUM!</v>
      </c>
      <c r="T254" s="38" t="e">
        <f t="shared" ca="1" si="70"/>
        <v>#NUM!</v>
      </c>
    </row>
    <row r="255" spans="1:20" ht="20.25" customHeight="1">
      <c r="A255" s="62"/>
      <c r="B255" s="6" t="e">
        <f t="shared" ca="1" si="56"/>
        <v>#NUM!</v>
      </c>
      <c r="C255" s="117" t="e">
        <f t="shared" ca="1" si="57"/>
        <v>#NUM!</v>
      </c>
      <c r="D255" s="131" t="e">
        <f t="shared" ca="1" si="58"/>
        <v>#NUM!</v>
      </c>
      <c r="E255" s="131" t="e">
        <f t="shared" ca="1" si="59"/>
        <v>#NUM!</v>
      </c>
      <c r="F255" s="137" t="e">
        <f t="shared" ca="1" si="60"/>
        <v>#NUM!</v>
      </c>
      <c r="G255" s="132" t="e">
        <f t="shared" ca="1" si="61"/>
        <v>#NUM!</v>
      </c>
      <c r="H255" s="132" t="e">
        <f t="shared" ca="1" si="62"/>
        <v>#NUM!</v>
      </c>
      <c r="I255" s="131" t="e">
        <f t="shared" ca="1" si="63"/>
        <v>#NUM!</v>
      </c>
      <c r="J255" s="66"/>
      <c r="K255" s="11"/>
      <c r="L255" s="11"/>
      <c r="M255" s="6" t="e">
        <f t="shared" ca="1" si="64"/>
        <v>#NUM!</v>
      </c>
      <c r="N255" s="40" t="str">
        <f t="shared" si="55"/>
        <v>237기 보수</v>
      </c>
      <c r="O255" s="38" t="e">
        <f t="shared" ca="1" si="65"/>
        <v>#NUM!</v>
      </c>
      <c r="P255" s="38" t="e">
        <f t="shared" ca="1" si="66"/>
        <v>#NAME?</v>
      </c>
      <c r="Q255" s="38" t="e">
        <f t="shared" ca="1" si="67"/>
        <v>#NUM!</v>
      </c>
      <c r="R255" s="38" t="e">
        <f t="shared" ca="1" si="68"/>
        <v>#NUM!</v>
      </c>
      <c r="S255" s="38" t="e">
        <f t="shared" ca="1" si="69"/>
        <v>#NUM!</v>
      </c>
      <c r="T255" s="38" t="e">
        <f t="shared" ca="1" si="70"/>
        <v>#NUM!</v>
      </c>
    </row>
    <row r="256" spans="1:20" ht="20.25" customHeight="1">
      <c r="A256" s="62"/>
      <c r="B256" s="6" t="e">
        <f t="shared" ca="1" si="56"/>
        <v>#NUM!</v>
      </c>
      <c r="C256" s="117" t="e">
        <f t="shared" ca="1" si="57"/>
        <v>#NUM!</v>
      </c>
      <c r="D256" s="131" t="e">
        <f t="shared" ca="1" si="58"/>
        <v>#NUM!</v>
      </c>
      <c r="E256" s="131" t="e">
        <f t="shared" ca="1" si="59"/>
        <v>#NUM!</v>
      </c>
      <c r="F256" s="137" t="e">
        <f t="shared" ca="1" si="60"/>
        <v>#NUM!</v>
      </c>
      <c r="G256" s="132" t="e">
        <f t="shared" ca="1" si="61"/>
        <v>#NUM!</v>
      </c>
      <c r="H256" s="132" t="e">
        <f t="shared" ca="1" si="62"/>
        <v>#NUM!</v>
      </c>
      <c r="I256" s="131" t="e">
        <f t="shared" ca="1" si="63"/>
        <v>#NUM!</v>
      </c>
      <c r="J256" s="66"/>
      <c r="K256" s="11"/>
      <c r="L256" s="11"/>
      <c r="M256" s="6" t="e">
        <f t="shared" ca="1" si="64"/>
        <v>#NUM!</v>
      </c>
      <c r="N256" s="40" t="str">
        <f t="shared" si="55"/>
        <v>238기 보수</v>
      </c>
      <c r="O256" s="38" t="e">
        <f t="shared" ca="1" si="65"/>
        <v>#NUM!</v>
      </c>
      <c r="P256" s="38" t="e">
        <f t="shared" ca="1" si="66"/>
        <v>#NAME?</v>
      </c>
      <c r="Q256" s="38" t="e">
        <f t="shared" ca="1" si="67"/>
        <v>#NUM!</v>
      </c>
      <c r="R256" s="38" t="e">
        <f t="shared" ca="1" si="68"/>
        <v>#NUM!</v>
      </c>
      <c r="S256" s="38" t="e">
        <f t="shared" ca="1" si="69"/>
        <v>#NUM!</v>
      </c>
      <c r="T256" s="38" t="e">
        <f t="shared" ca="1" si="70"/>
        <v>#NUM!</v>
      </c>
    </row>
    <row r="257" spans="1:20" ht="20.25" customHeight="1">
      <c r="A257" s="62"/>
      <c r="B257" s="6" t="e">
        <f t="shared" ca="1" si="56"/>
        <v>#NUM!</v>
      </c>
      <c r="C257" s="117" t="e">
        <f t="shared" ca="1" si="57"/>
        <v>#NUM!</v>
      </c>
      <c r="D257" s="131" t="e">
        <f t="shared" ca="1" si="58"/>
        <v>#NUM!</v>
      </c>
      <c r="E257" s="131" t="e">
        <f t="shared" ca="1" si="59"/>
        <v>#NUM!</v>
      </c>
      <c r="F257" s="137" t="e">
        <f t="shared" ca="1" si="60"/>
        <v>#NUM!</v>
      </c>
      <c r="G257" s="132" t="e">
        <f t="shared" ca="1" si="61"/>
        <v>#NUM!</v>
      </c>
      <c r="H257" s="132" t="e">
        <f t="shared" ca="1" si="62"/>
        <v>#NUM!</v>
      </c>
      <c r="I257" s="131" t="e">
        <f t="shared" ca="1" si="63"/>
        <v>#NUM!</v>
      </c>
      <c r="J257" s="66"/>
      <c r="K257" s="11"/>
      <c r="L257" s="11"/>
      <c r="M257" s="6" t="e">
        <f t="shared" ca="1" si="64"/>
        <v>#NUM!</v>
      </c>
      <c r="N257" s="40" t="str">
        <f t="shared" si="55"/>
        <v>239기 보수</v>
      </c>
      <c r="O257" s="38" t="e">
        <f t="shared" ca="1" si="65"/>
        <v>#NUM!</v>
      </c>
      <c r="P257" s="38" t="e">
        <f t="shared" ca="1" si="66"/>
        <v>#NAME?</v>
      </c>
      <c r="Q257" s="38" t="e">
        <f t="shared" ca="1" si="67"/>
        <v>#NUM!</v>
      </c>
      <c r="R257" s="38" t="e">
        <f t="shared" ca="1" si="68"/>
        <v>#NUM!</v>
      </c>
      <c r="S257" s="38" t="e">
        <f t="shared" ca="1" si="69"/>
        <v>#NUM!</v>
      </c>
      <c r="T257" s="38" t="e">
        <f t="shared" ca="1" si="70"/>
        <v>#NUM!</v>
      </c>
    </row>
    <row r="258" spans="1:20" ht="20.25" customHeight="1">
      <c r="A258" s="62"/>
      <c r="B258" s="6" t="e">
        <f t="shared" ca="1" si="56"/>
        <v>#NUM!</v>
      </c>
      <c r="C258" s="117" t="e">
        <f t="shared" ca="1" si="57"/>
        <v>#NUM!</v>
      </c>
      <c r="D258" s="131" t="e">
        <f t="shared" ca="1" si="58"/>
        <v>#NUM!</v>
      </c>
      <c r="E258" s="131" t="e">
        <f t="shared" ca="1" si="59"/>
        <v>#NUM!</v>
      </c>
      <c r="F258" s="137" t="e">
        <f t="shared" ca="1" si="60"/>
        <v>#NUM!</v>
      </c>
      <c r="G258" s="132" t="e">
        <f t="shared" ca="1" si="61"/>
        <v>#NUM!</v>
      </c>
      <c r="H258" s="132" t="e">
        <f t="shared" ca="1" si="62"/>
        <v>#NUM!</v>
      </c>
      <c r="I258" s="131" t="e">
        <f t="shared" ca="1" si="63"/>
        <v>#NUM!</v>
      </c>
      <c r="J258" s="66"/>
      <c r="K258" s="11"/>
      <c r="L258" s="11"/>
      <c r="M258" s="6" t="e">
        <f t="shared" ca="1" si="64"/>
        <v>#NUM!</v>
      </c>
      <c r="N258" s="40" t="str">
        <f t="shared" si="55"/>
        <v>240기 보수</v>
      </c>
      <c r="O258" s="38" t="e">
        <f t="shared" ca="1" si="65"/>
        <v>#NUM!</v>
      </c>
      <c r="P258" s="38" t="e">
        <f t="shared" ca="1" si="66"/>
        <v>#NAME?</v>
      </c>
      <c r="Q258" s="38" t="e">
        <f t="shared" ca="1" si="67"/>
        <v>#NUM!</v>
      </c>
      <c r="R258" s="38" t="e">
        <f t="shared" ca="1" si="68"/>
        <v>#NUM!</v>
      </c>
      <c r="S258" s="38" t="e">
        <f t="shared" ca="1" si="69"/>
        <v>#NUM!</v>
      </c>
      <c r="T258" s="38" t="e">
        <f t="shared" ca="1" si="70"/>
        <v>#NUM!</v>
      </c>
    </row>
    <row r="259" spans="1:20" ht="20.25" customHeight="1">
      <c r="A259" s="62"/>
      <c r="B259" s="6" t="e">
        <f t="shared" ca="1" si="56"/>
        <v>#NUM!</v>
      </c>
      <c r="C259" s="117" t="e">
        <f t="shared" ca="1" si="57"/>
        <v>#NUM!</v>
      </c>
      <c r="D259" s="131" t="e">
        <f t="shared" ca="1" si="58"/>
        <v>#NUM!</v>
      </c>
      <c r="E259" s="131" t="e">
        <f t="shared" ca="1" si="59"/>
        <v>#NUM!</v>
      </c>
      <c r="F259" s="137" t="e">
        <f t="shared" ca="1" si="60"/>
        <v>#NUM!</v>
      </c>
      <c r="G259" s="132" t="e">
        <f t="shared" ca="1" si="61"/>
        <v>#NUM!</v>
      </c>
      <c r="H259" s="132" t="e">
        <f t="shared" ca="1" si="62"/>
        <v>#NUM!</v>
      </c>
      <c r="I259" s="131" t="e">
        <f t="shared" ca="1" si="63"/>
        <v>#NUM!</v>
      </c>
      <c r="J259" s="66"/>
      <c r="K259" s="11"/>
      <c r="L259" s="11"/>
      <c r="M259" s="6" t="e">
        <f t="shared" ca="1" si="64"/>
        <v>#NUM!</v>
      </c>
      <c r="N259" s="40" t="str">
        <f t="shared" si="55"/>
        <v>241기 보수</v>
      </c>
      <c r="O259" s="38" t="e">
        <f t="shared" ca="1" si="65"/>
        <v>#NUM!</v>
      </c>
      <c r="P259" s="38" t="e">
        <f t="shared" ca="1" si="66"/>
        <v>#NAME?</v>
      </c>
      <c r="Q259" s="38" t="e">
        <f t="shared" ca="1" si="67"/>
        <v>#NUM!</v>
      </c>
      <c r="R259" s="38" t="e">
        <f t="shared" ca="1" si="68"/>
        <v>#NUM!</v>
      </c>
      <c r="S259" s="38" t="e">
        <f t="shared" ca="1" si="69"/>
        <v>#NUM!</v>
      </c>
      <c r="T259" s="38" t="e">
        <f t="shared" ca="1" si="70"/>
        <v>#NUM!</v>
      </c>
    </row>
    <row r="260" spans="1:20" ht="20.25" customHeight="1">
      <c r="A260" s="62"/>
      <c r="B260" s="6" t="e">
        <f t="shared" ca="1" si="56"/>
        <v>#NUM!</v>
      </c>
      <c r="C260" s="117" t="e">
        <f t="shared" ca="1" si="57"/>
        <v>#NUM!</v>
      </c>
      <c r="D260" s="131" t="e">
        <f t="shared" ca="1" si="58"/>
        <v>#NUM!</v>
      </c>
      <c r="E260" s="131" t="e">
        <f t="shared" ca="1" si="59"/>
        <v>#NUM!</v>
      </c>
      <c r="F260" s="137" t="e">
        <f t="shared" ca="1" si="60"/>
        <v>#NUM!</v>
      </c>
      <c r="G260" s="132" t="e">
        <f t="shared" ca="1" si="61"/>
        <v>#NUM!</v>
      </c>
      <c r="H260" s="132" t="e">
        <f t="shared" ca="1" si="62"/>
        <v>#NUM!</v>
      </c>
      <c r="I260" s="131" t="e">
        <f t="shared" ca="1" si="63"/>
        <v>#NUM!</v>
      </c>
      <c r="J260" s="66"/>
      <c r="K260" s="11"/>
      <c r="L260" s="11"/>
      <c r="M260" s="6" t="e">
        <f t="shared" ca="1" si="64"/>
        <v>#NUM!</v>
      </c>
      <c r="N260" s="40" t="str">
        <f t="shared" si="55"/>
        <v>242기 보수</v>
      </c>
      <c r="O260" s="38" t="e">
        <f t="shared" ca="1" si="65"/>
        <v>#NUM!</v>
      </c>
      <c r="P260" s="38" t="e">
        <f t="shared" ca="1" si="66"/>
        <v>#NAME?</v>
      </c>
      <c r="Q260" s="38" t="e">
        <f t="shared" ca="1" si="67"/>
        <v>#NUM!</v>
      </c>
      <c r="R260" s="38" t="e">
        <f t="shared" ca="1" si="68"/>
        <v>#NUM!</v>
      </c>
      <c r="S260" s="38" t="e">
        <f t="shared" ca="1" si="69"/>
        <v>#NUM!</v>
      </c>
      <c r="T260" s="38" t="e">
        <f t="shared" ca="1" si="70"/>
        <v>#NUM!</v>
      </c>
    </row>
    <row r="261" spans="1:20" ht="20.25" customHeight="1">
      <c r="A261" s="62"/>
      <c r="B261" s="6" t="e">
        <f t="shared" ca="1" si="56"/>
        <v>#NUM!</v>
      </c>
      <c r="C261" s="117" t="e">
        <f t="shared" ca="1" si="57"/>
        <v>#NUM!</v>
      </c>
      <c r="D261" s="131" t="e">
        <f t="shared" ca="1" si="58"/>
        <v>#NUM!</v>
      </c>
      <c r="E261" s="131" t="e">
        <f t="shared" ca="1" si="59"/>
        <v>#NUM!</v>
      </c>
      <c r="F261" s="137" t="e">
        <f t="shared" ca="1" si="60"/>
        <v>#NUM!</v>
      </c>
      <c r="G261" s="132" t="e">
        <f t="shared" ca="1" si="61"/>
        <v>#NUM!</v>
      </c>
      <c r="H261" s="132" t="e">
        <f t="shared" ca="1" si="62"/>
        <v>#NUM!</v>
      </c>
      <c r="I261" s="131" t="e">
        <f t="shared" ca="1" si="63"/>
        <v>#NUM!</v>
      </c>
      <c r="J261" s="66"/>
      <c r="K261" s="11"/>
      <c r="L261" s="11"/>
      <c r="M261" s="6" t="e">
        <f t="shared" ca="1" si="64"/>
        <v>#NUM!</v>
      </c>
      <c r="N261" s="40" t="str">
        <f t="shared" si="55"/>
        <v>243기 보수</v>
      </c>
      <c r="O261" s="38" t="e">
        <f t="shared" ca="1" si="65"/>
        <v>#NUM!</v>
      </c>
      <c r="P261" s="38" t="e">
        <f t="shared" ca="1" si="66"/>
        <v>#NAME?</v>
      </c>
      <c r="Q261" s="38" t="e">
        <f t="shared" ca="1" si="67"/>
        <v>#NUM!</v>
      </c>
      <c r="R261" s="38" t="e">
        <f t="shared" ca="1" si="68"/>
        <v>#NUM!</v>
      </c>
      <c r="S261" s="38" t="e">
        <f t="shared" ca="1" si="69"/>
        <v>#NUM!</v>
      </c>
      <c r="T261" s="38" t="e">
        <f t="shared" ca="1" si="70"/>
        <v>#NUM!</v>
      </c>
    </row>
    <row r="262" spans="1:20" ht="20.25" customHeight="1">
      <c r="A262" s="62"/>
      <c r="B262" s="6" t="e">
        <f t="shared" ca="1" si="56"/>
        <v>#NUM!</v>
      </c>
      <c r="C262" s="117" t="e">
        <f t="shared" ca="1" si="57"/>
        <v>#NUM!</v>
      </c>
      <c r="D262" s="131" t="e">
        <f t="shared" ca="1" si="58"/>
        <v>#NUM!</v>
      </c>
      <c r="E262" s="131" t="e">
        <f t="shared" ca="1" si="59"/>
        <v>#NUM!</v>
      </c>
      <c r="F262" s="137" t="e">
        <f t="shared" ca="1" si="60"/>
        <v>#NUM!</v>
      </c>
      <c r="G262" s="132" t="e">
        <f t="shared" ca="1" si="61"/>
        <v>#NUM!</v>
      </c>
      <c r="H262" s="132" t="e">
        <f t="shared" ca="1" si="62"/>
        <v>#NUM!</v>
      </c>
      <c r="I262" s="131" t="e">
        <f t="shared" ca="1" si="63"/>
        <v>#NUM!</v>
      </c>
      <c r="J262" s="66"/>
      <c r="K262" s="11"/>
      <c r="L262" s="11"/>
      <c r="M262" s="6" t="e">
        <f t="shared" ca="1" si="64"/>
        <v>#NUM!</v>
      </c>
      <c r="N262" s="40" t="str">
        <f t="shared" si="55"/>
        <v>244기 보수</v>
      </c>
      <c r="O262" s="38" t="e">
        <f t="shared" ca="1" si="65"/>
        <v>#NUM!</v>
      </c>
      <c r="P262" s="38" t="e">
        <f t="shared" ca="1" si="66"/>
        <v>#NAME?</v>
      </c>
      <c r="Q262" s="38" t="e">
        <f t="shared" ca="1" si="67"/>
        <v>#NUM!</v>
      </c>
      <c r="R262" s="38" t="e">
        <f t="shared" ca="1" si="68"/>
        <v>#NUM!</v>
      </c>
      <c r="S262" s="38" t="e">
        <f t="shared" ca="1" si="69"/>
        <v>#NUM!</v>
      </c>
      <c r="T262" s="38" t="e">
        <f t="shared" ca="1" si="70"/>
        <v>#NUM!</v>
      </c>
    </row>
    <row r="263" spans="1:20" ht="20.25" customHeight="1">
      <c r="A263" s="62"/>
      <c r="B263" s="6" t="e">
        <f t="shared" ca="1" si="56"/>
        <v>#NUM!</v>
      </c>
      <c r="C263" s="117" t="e">
        <f t="shared" ca="1" si="57"/>
        <v>#NUM!</v>
      </c>
      <c r="D263" s="131" t="e">
        <f t="shared" ca="1" si="58"/>
        <v>#NUM!</v>
      </c>
      <c r="E263" s="131" t="e">
        <f t="shared" ca="1" si="59"/>
        <v>#NUM!</v>
      </c>
      <c r="F263" s="137" t="e">
        <f t="shared" ca="1" si="60"/>
        <v>#NUM!</v>
      </c>
      <c r="G263" s="132" t="e">
        <f t="shared" ca="1" si="61"/>
        <v>#NUM!</v>
      </c>
      <c r="H263" s="132" t="e">
        <f t="shared" ca="1" si="62"/>
        <v>#NUM!</v>
      </c>
      <c r="I263" s="131" t="e">
        <f t="shared" ca="1" si="63"/>
        <v>#NUM!</v>
      </c>
      <c r="J263" s="66"/>
      <c r="K263" s="11"/>
      <c r="L263" s="11"/>
      <c r="M263" s="6" t="e">
        <f t="shared" ca="1" si="64"/>
        <v>#NUM!</v>
      </c>
      <c r="N263" s="40" t="str">
        <f t="shared" si="55"/>
        <v>245기 보수</v>
      </c>
      <c r="O263" s="38" t="e">
        <f t="shared" ca="1" si="65"/>
        <v>#NUM!</v>
      </c>
      <c r="P263" s="38" t="e">
        <f t="shared" ca="1" si="66"/>
        <v>#NAME?</v>
      </c>
      <c r="Q263" s="38" t="e">
        <f t="shared" ca="1" si="67"/>
        <v>#NUM!</v>
      </c>
      <c r="R263" s="38" t="e">
        <f t="shared" ca="1" si="68"/>
        <v>#NUM!</v>
      </c>
      <c r="S263" s="38" t="e">
        <f t="shared" ca="1" si="69"/>
        <v>#NUM!</v>
      </c>
      <c r="T263" s="38" t="e">
        <f t="shared" ca="1" si="70"/>
        <v>#NUM!</v>
      </c>
    </row>
    <row r="264" spans="1:20" ht="20.25" customHeight="1">
      <c r="A264" s="62"/>
      <c r="B264" s="6" t="e">
        <f t="shared" ca="1" si="56"/>
        <v>#NUM!</v>
      </c>
      <c r="C264" s="117" t="e">
        <f t="shared" ca="1" si="57"/>
        <v>#NUM!</v>
      </c>
      <c r="D264" s="131" t="e">
        <f t="shared" ca="1" si="58"/>
        <v>#NUM!</v>
      </c>
      <c r="E264" s="131" t="e">
        <f t="shared" ca="1" si="59"/>
        <v>#NUM!</v>
      </c>
      <c r="F264" s="137" t="e">
        <f t="shared" ca="1" si="60"/>
        <v>#NUM!</v>
      </c>
      <c r="G264" s="132" t="e">
        <f t="shared" ca="1" si="61"/>
        <v>#NUM!</v>
      </c>
      <c r="H264" s="132" t="e">
        <f t="shared" ca="1" si="62"/>
        <v>#NUM!</v>
      </c>
      <c r="I264" s="131" t="e">
        <f t="shared" ca="1" si="63"/>
        <v>#NUM!</v>
      </c>
      <c r="J264" s="66"/>
      <c r="K264" s="11"/>
      <c r="L264" s="11"/>
      <c r="M264" s="6" t="e">
        <f t="shared" ca="1" si="64"/>
        <v>#NUM!</v>
      </c>
      <c r="N264" s="40" t="str">
        <f t="shared" si="55"/>
        <v>246기 보수</v>
      </c>
      <c r="O264" s="38" t="e">
        <f t="shared" ca="1" si="65"/>
        <v>#NUM!</v>
      </c>
      <c r="P264" s="38" t="e">
        <f t="shared" ca="1" si="66"/>
        <v>#NAME?</v>
      </c>
      <c r="Q264" s="38" t="e">
        <f t="shared" ca="1" si="67"/>
        <v>#NUM!</v>
      </c>
      <c r="R264" s="38" t="e">
        <f t="shared" ca="1" si="68"/>
        <v>#NUM!</v>
      </c>
      <c r="S264" s="38" t="e">
        <f t="shared" ca="1" si="69"/>
        <v>#NUM!</v>
      </c>
      <c r="T264" s="38" t="e">
        <f t="shared" ca="1" si="70"/>
        <v>#NUM!</v>
      </c>
    </row>
    <row r="265" spans="1:20" ht="20.25" customHeight="1">
      <c r="A265" s="62"/>
      <c r="B265" s="6" t="e">
        <f t="shared" ca="1" si="56"/>
        <v>#NUM!</v>
      </c>
      <c r="C265" s="117" t="e">
        <f t="shared" ca="1" si="57"/>
        <v>#NUM!</v>
      </c>
      <c r="D265" s="131" t="e">
        <f t="shared" ca="1" si="58"/>
        <v>#NUM!</v>
      </c>
      <c r="E265" s="131" t="e">
        <f t="shared" ca="1" si="59"/>
        <v>#NUM!</v>
      </c>
      <c r="F265" s="137" t="e">
        <f t="shared" ca="1" si="60"/>
        <v>#NUM!</v>
      </c>
      <c r="G265" s="132" t="e">
        <f t="shared" ca="1" si="61"/>
        <v>#NUM!</v>
      </c>
      <c r="H265" s="132" t="e">
        <f t="shared" ca="1" si="62"/>
        <v>#NUM!</v>
      </c>
      <c r="I265" s="131" t="e">
        <f t="shared" ca="1" si="63"/>
        <v>#NUM!</v>
      </c>
      <c r="J265" s="66"/>
      <c r="K265" s="11"/>
      <c r="L265" s="11"/>
      <c r="M265" s="6" t="e">
        <f t="shared" ca="1" si="64"/>
        <v>#NUM!</v>
      </c>
      <c r="N265" s="40" t="str">
        <f t="shared" si="55"/>
        <v>247기 보수</v>
      </c>
      <c r="O265" s="38" t="e">
        <f t="shared" ca="1" si="65"/>
        <v>#NUM!</v>
      </c>
      <c r="P265" s="38" t="e">
        <f t="shared" ca="1" si="66"/>
        <v>#NAME?</v>
      </c>
      <c r="Q265" s="38" t="e">
        <f t="shared" ca="1" si="67"/>
        <v>#NUM!</v>
      </c>
      <c r="R265" s="38" t="e">
        <f t="shared" ca="1" si="68"/>
        <v>#NUM!</v>
      </c>
      <c r="S265" s="38" t="e">
        <f t="shared" ca="1" si="69"/>
        <v>#NUM!</v>
      </c>
      <c r="T265" s="38" t="e">
        <f t="shared" ca="1" si="70"/>
        <v>#NUM!</v>
      </c>
    </row>
    <row r="266" spans="1:20" ht="20.25" customHeight="1">
      <c r="A266" s="62"/>
      <c r="B266" s="6" t="e">
        <f t="shared" ca="1" si="56"/>
        <v>#NUM!</v>
      </c>
      <c r="C266" s="117" t="e">
        <f t="shared" ca="1" si="57"/>
        <v>#NUM!</v>
      </c>
      <c r="D266" s="131" t="e">
        <f t="shared" ca="1" si="58"/>
        <v>#NUM!</v>
      </c>
      <c r="E266" s="131" t="e">
        <f t="shared" ca="1" si="59"/>
        <v>#NUM!</v>
      </c>
      <c r="F266" s="137" t="e">
        <f t="shared" ca="1" si="60"/>
        <v>#NUM!</v>
      </c>
      <c r="G266" s="132" t="e">
        <f t="shared" ca="1" si="61"/>
        <v>#NUM!</v>
      </c>
      <c r="H266" s="132" t="e">
        <f t="shared" ca="1" si="62"/>
        <v>#NUM!</v>
      </c>
      <c r="I266" s="131" t="e">
        <f t="shared" ca="1" si="63"/>
        <v>#NUM!</v>
      </c>
      <c r="J266" s="66"/>
      <c r="K266" s="11"/>
      <c r="L266" s="11"/>
      <c r="M266" s="6" t="e">
        <f t="shared" ca="1" si="64"/>
        <v>#NUM!</v>
      </c>
      <c r="N266" s="40" t="str">
        <f t="shared" si="55"/>
        <v>248기 보수</v>
      </c>
      <c r="O266" s="38" t="e">
        <f t="shared" ca="1" si="65"/>
        <v>#NUM!</v>
      </c>
      <c r="P266" s="38" t="e">
        <f t="shared" ca="1" si="66"/>
        <v>#NAME?</v>
      </c>
      <c r="Q266" s="38" t="e">
        <f t="shared" ca="1" si="67"/>
        <v>#NUM!</v>
      </c>
      <c r="R266" s="38" t="e">
        <f t="shared" ca="1" si="68"/>
        <v>#NUM!</v>
      </c>
      <c r="S266" s="38" t="e">
        <f t="shared" ca="1" si="69"/>
        <v>#NUM!</v>
      </c>
      <c r="T266" s="38" t="e">
        <f t="shared" ca="1" si="70"/>
        <v>#NUM!</v>
      </c>
    </row>
    <row r="267" spans="1:20" ht="20.25" customHeight="1">
      <c r="A267" s="62"/>
      <c r="B267" s="6" t="e">
        <f t="shared" ca="1" si="56"/>
        <v>#NUM!</v>
      </c>
      <c r="C267" s="117" t="e">
        <f t="shared" ca="1" si="57"/>
        <v>#NUM!</v>
      </c>
      <c r="D267" s="131" t="e">
        <f t="shared" ca="1" si="58"/>
        <v>#NUM!</v>
      </c>
      <c r="E267" s="131" t="e">
        <f t="shared" ca="1" si="59"/>
        <v>#NUM!</v>
      </c>
      <c r="F267" s="137" t="e">
        <f t="shared" ca="1" si="60"/>
        <v>#NUM!</v>
      </c>
      <c r="G267" s="132" t="e">
        <f t="shared" ca="1" si="61"/>
        <v>#NUM!</v>
      </c>
      <c r="H267" s="132" t="e">
        <f t="shared" ca="1" si="62"/>
        <v>#NUM!</v>
      </c>
      <c r="I267" s="131" t="e">
        <f t="shared" ca="1" si="63"/>
        <v>#NUM!</v>
      </c>
      <c r="J267" s="66"/>
      <c r="K267" s="11"/>
      <c r="L267" s="11"/>
      <c r="M267" s="6" t="e">
        <f t="shared" ca="1" si="64"/>
        <v>#NUM!</v>
      </c>
      <c r="N267" s="40" t="str">
        <f t="shared" si="55"/>
        <v>249기 보수</v>
      </c>
      <c r="O267" s="38" t="e">
        <f t="shared" ca="1" si="65"/>
        <v>#NUM!</v>
      </c>
      <c r="P267" s="38" t="e">
        <f t="shared" ca="1" si="66"/>
        <v>#NAME?</v>
      </c>
      <c r="Q267" s="38" t="e">
        <f t="shared" ca="1" si="67"/>
        <v>#NUM!</v>
      </c>
      <c r="R267" s="38" t="e">
        <f t="shared" ca="1" si="68"/>
        <v>#NUM!</v>
      </c>
      <c r="S267" s="38" t="e">
        <f t="shared" ca="1" si="69"/>
        <v>#NUM!</v>
      </c>
      <c r="T267" s="38" t="e">
        <f t="shared" ca="1" si="70"/>
        <v>#NUM!</v>
      </c>
    </row>
    <row r="268" spans="1:20" ht="20.25" customHeight="1">
      <c r="A268" s="62"/>
      <c r="B268" s="6" t="e">
        <f t="shared" ca="1" si="56"/>
        <v>#NUM!</v>
      </c>
      <c r="C268" s="117" t="e">
        <f t="shared" ca="1" si="57"/>
        <v>#NUM!</v>
      </c>
      <c r="D268" s="131" t="e">
        <f t="shared" ca="1" si="58"/>
        <v>#NUM!</v>
      </c>
      <c r="E268" s="131" t="e">
        <f t="shared" ca="1" si="59"/>
        <v>#NUM!</v>
      </c>
      <c r="F268" s="137" t="e">
        <f t="shared" ca="1" si="60"/>
        <v>#NUM!</v>
      </c>
      <c r="G268" s="132" t="e">
        <f t="shared" ca="1" si="61"/>
        <v>#NUM!</v>
      </c>
      <c r="H268" s="132" t="e">
        <f t="shared" ca="1" si="62"/>
        <v>#NUM!</v>
      </c>
      <c r="I268" s="131" t="e">
        <f t="shared" ca="1" si="63"/>
        <v>#NUM!</v>
      </c>
      <c r="J268" s="66"/>
      <c r="K268" s="11"/>
      <c r="L268" s="11"/>
      <c r="M268" s="6" t="e">
        <f t="shared" ca="1" si="64"/>
        <v>#NUM!</v>
      </c>
      <c r="N268" s="40" t="str">
        <f t="shared" si="55"/>
        <v>250기 보수</v>
      </c>
      <c r="O268" s="38" t="e">
        <f t="shared" ca="1" si="65"/>
        <v>#NUM!</v>
      </c>
      <c r="P268" s="38" t="e">
        <f t="shared" ca="1" si="66"/>
        <v>#NAME?</v>
      </c>
      <c r="Q268" s="38" t="e">
        <f t="shared" ca="1" si="67"/>
        <v>#NUM!</v>
      </c>
      <c r="R268" s="38" t="e">
        <f t="shared" ca="1" si="68"/>
        <v>#NUM!</v>
      </c>
      <c r="S268" s="38" t="e">
        <f t="shared" ca="1" si="69"/>
        <v>#NUM!</v>
      </c>
      <c r="T268" s="38" t="e">
        <f t="shared" ca="1" si="70"/>
        <v>#NUM!</v>
      </c>
    </row>
    <row r="269" spans="1:20" ht="20.25" customHeight="1">
      <c r="A269" s="62"/>
      <c r="B269" s="6" t="e">
        <f t="shared" ca="1" si="56"/>
        <v>#NUM!</v>
      </c>
      <c r="C269" s="117" t="e">
        <f t="shared" ca="1" si="57"/>
        <v>#NUM!</v>
      </c>
      <c r="D269" s="131" t="e">
        <f t="shared" ca="1" si="58"/>
        <v>#NUM!</v>
      </c>
      <c r="E269" s="131" t="e">
        <f t="shared" ca="1" si="59"/>
        <v>#NUM!</v>
      </c>
      <c r="F269" s="137" t="e">
        <f t="shared" ca="1" si="60"/>
        <v>#NUM!</v>
      </c>
      <c r="G269" s="132" t="e">
        <f t="shared" ca="1" si="61"/>
        <v>#NUM!</v>
      </c>
      <c r="H269" s="132" t="e">
        <f t="shared" ca="1" si="62"/>
        <v>#NUM!</v>
      </c>
      <c r="I269" s="131" t="e">
        <f t="shared" ca="1" si="63"/>
        <v>#NUM!</v>
      </c>
      <c r="J269" s="66"/>
      <c r="K269" s="11"/>
      <c r="L269" s="11"/>
      <c r="M269" s="6" t="e">
        <f t="shared" ca="1" si="64"/>
        <v>#NUM!</v>
      </c>
      <c r="N269" s="40" t="str">
        <f t="shared" si="55"/>
        <v>251기 보수</v>
      </c>
      <c r="O269" s="38" t="e">
        <f t="shared" ca="1" si="65"/>
        <v>#NUM!</v>
      </c>
      <c r="P269" s="38" t="e">
        <f t="shared" ca="1" si="66"/>
        <v>#NAME?</v>
      </c>
      <c r="Q269" s="38" t="e">
        <f t="shared" ca="1" si="67"/>
        <v>#NUM!</v>
      </c>
      <c r="R269" s="38" t="e">
        <f t="shared" ca="1" si="68"/>
        <v>#NUM!</v>
      </c>
      <c r="S269" s="38" t="e">
        <f t="shared" ca="1" si="69"/>
        <v>#NUM!</v>
      </c>
      <c r="T269" s="38" t="e">
        <f t="shared" ca="1" si="70"/>
        <v>#NUM!</v>
      </c>
    </row>
    <row r="270" spans="1:20" ht="20.25" customHeight="1">
      <c r="A270" s="62"/>
      <c r="B270" s="6" t="e">
        <f t="shared" ca="1" si="56"/>
        <v>#NUM!</v>
      </c>
      <c r="C270" s="117" t="e">
        <f t="shared" ca="1" si="57"/>
        <v>#NUM!</v>
      </c>
      <c r="D270" s="131" t="e">
        <f t="shared" ca="1" si="58"/>
        <v>#NUM!</v>
      </c>
      <c r="E270" s="131" t="e">
        <f t="shared" ca="1" si="59"/>
        <v>#NUM!</v>
      </c>
      <c r="F270" s="137" t="e">
        <f t="shared" ca="1" si="60"/>
        <v>#NUM!</v>
      </c>
      <c r="G270" s="132" t="e">
        <f t="shared" ca="1" si="61"/>
        <v>#NUM!</v>
      </c>
      <c r="H270" s="132" t="e">
        <f t="shared" ca="1" si="62"/>
        <v>#NUM!</v>
      </c>
      <c r="I270" s="131" t="e">
        <f t="shared" ca="1" si="63"/>
        <v>#NUM!</v>
      </c>
      <c r="J270" s="66"/>
      <c r="K270" s="11"/>
      <c r="L270" s="11"/>
      <c r="M270" s="6" t="e">
        <f t="shared" ca="1" si="64"/>
        <v>#NUM!</v>
      </c>
      <c r="N270" s="40" t="str">
        <f t="shared" si="55"/>
        <v>252기 보수</v>
      </c>
      <c r="O270" s="38" t="e">
        <f t="shared" ca="1" si="65"/>
        <v>#NUM!</v>
      </c>
      <c r="P270" s="38" t="e">
        <f t="shared" ca="1" si="66"/>
        <v>#NAME?</v>
      </c>
      <c r="Q270" s="38" t="e">
        <f t="shared" ca="1" si="67"/>
        <v>#NUM!</v>
      </c>
      <c r="R270" s="38" t="e">
        <f t="shared" ca="1" si="68"/>
        <v>#NUM!</v>
      </c>
      <c r="S270" s="38" t="e">
        <f t="shared" ca="1" si="69"/>
        <v>#NUM!</v>
      </c>
      <c r="T270" s="38" t="e">
        <f t="shared" ca="1" si="70"/>
        <v>#NUM!</v>
      </c>
    </row>
    <row r="271" spans="1:20" ht="20.25" customHeight="1">
      <c r="A271" s="62"/>
      <c r="B271" s="6" t="e">
        <f t="shared" ca="1" si="56"/>
        <v>#NUM!</v>
      </c>
      <c r="C271" s="117" t="e">
        <f t="shared" ca="1" si="57"/>
        <v>#NUM!</v>
      </c>
      <c r="D271" s="131" t="e">
        <f t="shared" ca="1" si="58"/>
        <v>#NUM!</v>
      </c>
      <c r="E271" s="131" t="e">
        <f t="shared" ca="1" si="59"/>
        <v>#NUM!</v>
      </c>
      <c r="F271" s="137" t="e">
        <f t="shared" ca="1" si="60"/>
        <v>#NUM!</v>
      </c>
      <c r="G271" s="132" t="e">
        <f t="shared" ca="1" si="61"/>
        <v>#NUM!</v>
      </c>
      <c r="H271" s="132" t="e">
        <f t="shared" ca="1" si="62"/>
        <v>#NUM!</v>
      </c>
      <c r="I271" s="131" t="e">
        <f t="shared" ca="1" si="63"/>
        <v>#NUM!</v>
      </c>
      <c r="J271" s="66"/>
      <c r="K271" s="11"/>
      <c r="L271" s="11"/>
      <c r="M271" s="6" t="e">
        <f t="shared" ca="1" si="64"/>
        <v>#NUM!</v>
      </c>
      <c r="N271" s="40" t="str">
        <f t="shared" si="55"/>
        <v>253기 보수</v>
      </c>
      <c r="O271" s="38" t="e">
        <f t="shared" ca="1" si="65"/>
        <v>#NUM!</v>
      </c>
      <c r="P271" s="38" t="e">
        <f t="shared" ca="1" si="66"/>
        <v>#NAME?</v>
      </c>
      <c r="Q271" s="38" t="e">
        <f t="shared" ca="1" si="67"/>
        <v>#NUM!</v>
      </c>
      <c r="R271" s="38" t="e">
        <f t="shared" ca="1" si="68"/>
        <v>#NUM!</v>
      </c>
      <c r="S271" s="38" t="e">
        <f t="shared" ca="1" si="69"/>
        <v>#NUM!</v>
      </c>
      <c r="T271" s="38" t="e">
        <f t="shared" ca="1" si="70"/>
        <v>#NUM!</v>
      </c>
    </row>
    <row r="272" spans="1:20" ht="20.25" customHeight="1">
      <c r="A272" s="62"/>
      <c r="B272" s="6" t="e">
        <f t="shared" ca="1" si="56"/>
        <v>#NUM!</v>
      </c>
      <c r="C272" s="117" t="e">
        <f t="shared" ca="1" si="57"/>
        <v>#NUM!</v>
      </c>
      <c r="D272" s="131" t="e">
        <f t="shared" ca="1" si="58"/>
        <v>#NUM!</v>
      </c>
      <c r="E272" s="131" t="e">
        <f t="shared" ca="1" si="59"/>
        <v>#NUM!</v>
      </c>
      <c r="F272" s="137" t="e">
        <f t="shared" ca="1" si="60"/>
        <v>#NUM!</v>
      </c>
      <c r="G272" s="132" t="e">
        <f t="shared" ca="1" si="61"/>
        <v>#NUM!</v>
      </c>
      <c r="H272" s="132" t="e">
        <f t="shared" ca="1" si="62"/>
        <v>#NUM!</v>
      </c>
      <c r="I272" s="131" t="e">
        <f t="shared" ca="1" si="63"/>
        <v>#NUM!</v>
      </c>
      <c r="J272" s="66"/>
      <c r="K272" s="11"/>
      <c r="L272" s="11"/>
      <c r="M272" s="6" t="e">
        <f t="shared" ca="1" si="64"/>
        <v>#NUM!</v>
      </c>
      <c r="N272" s="40" t="str">
        <f t="shared" si="55"/>
        <v>254기 보수</v>
      </c>
      <c r="O272" s="38" t="e">
        <f t="shared" ca="1" si="65"/>
        <v>#NUM!</v>
      </c>
      <c r="P272" s="38" t="e">
        <f t="shared" ca="1" si="66"/>
        <v>#NAME?</v>
      </c>
      <c r="Q272" s="38" t="e">
        <f t="shared" ca="1" si="67"/>
        <v>#NUM!</v>
      </c>
      <c r="R272" s="38" t="e">
        <f t="shared" ca="1" si="68"/>
        <v>#NUM!</v>
      </c>
      <c r="S272" s="38" t="e">
        <f t="shared" ca="1" si="69"/>
        <v>#NUM!</v>
      </c>
      <c r="T272" s="38" t="e">
        <f t="shared" ca="1" si="70"/>
        <v>#NUM!</v>
      </c>
    </row>
    <row r="273" spans="1:20" ht="20.25" customHeight="1">
      <c r="A273" s="62"/>
      <c r="B273" s="6" t="e">
        <f t="shared" ca="1" si="56"/>
        <v>#NUM!</v>
      </c>
      <c r="C273" s="117" t="e">
        <f t="shared" ca="1" si="57"/>
        <v>#NUM!</v>
      </c>
      <c r="D273" s="131" t="e">
        <f t="shared" ca="1" si="58"/>
        <v>#NUM!</v>
      </c>
      <c r="E273" s="131" t="e">
        <f t="shared" ca="1" si="59"/>
        <v>#NUM!</v>
      </c>
      <c r="F273" s="137" t="e">
        <f t="shared" ca="1" si="60"/>
        <v>#NUM!</v>
      </c>
      <c r="G273" s="132" t="e">
        <f t="shared" ca="1" si="61"/>
        <v>#NUM!</v>
      </c>
      <c r="H273" s="132" t="e">
        <f t="shared" ca="1" si="62"/>
        <v>#NUM!</v>
      </c>
      <c r="I273" s="131" t="e">
        <f t="shared" ca="1" si="63"/>
        <v>#NUM!</v>
      </c>
      <c r="J273" s="66"/>
      <c r="K273" s="11"/>
      <c r="L273" s="11"/>
      <c r="M273" s="6" t="e">
        <f t="shared" ca="1" si="64"/>
        <v>#NUM!</v>
      </c>
      <c r="N273" s="40" t="str">
        <f t="shared" si="55"/>
        <v>255기 보수</v>
      </c>
      <c r="O273" s="38" t="e">
        <f t="shared" ca="1" si="65"/>
        <v>#NUM!</v>
      </c>
      <c r="P273" s="38" t="e">
        <f t="shared" ca="1" si="66"/>
        <v>#NAME?</v>
      </c>
      <c r="Q273" s="38" t="e">
        <f t="shared" ca="1" si="67"/>
        <v>#NUM!</v>
      </c>
      <c r="R273" s="38" t="e">
        <f t="shared" ca="1" si="68"/>
        <v>#NUM!</v>
      </c>
      <c r="S273" s="38" t="e">
        <f t="shared" ca="1" si="69"/>
        <v>#NUM!</v>
      </c>
      <c r="T273" s="38" t="e">
        <f t="shared" ca="1" si="70"/>
        <v>#NUM!</v>
      </c>
    </row>
    <row r="274" spans="1:20" ht="20.25" customHeight="1">
      <c r="A274" s="62"/>
      <c r="B274" s="6" t="e">
        <f t="shared" ca="1" si="56"/>
        <v>#NUM!</v>
      </c>
      <c r="C274" s="117" t="e">
        <f t="shared" ca="1" si="57"/>
        <v>#NUM!</v>
      </c>
      <c r="D274" s="131" t="e">
        <f t="shared" ca="1" si="58"/>
        <v>#NUM!</v>
      </c>
      <c r="E274" s="131" t="e">
        <f t="shared" ca="1" si="59"/>
        <v>#NUM!</v>
      </c>
      <c r="F274" s="137" t="e">
        <f t="shared" ca="1" si="60"/>
        <v>#NUM!</v>
      </c>
      <c r="G274" s="132" t="e">
        <f t="shared" ca="1" si="61"/>
        <v>#NUM!</v>
      </c>
      <c r="H274" s="132" t="e">
        <f t="shared" ca="1" si="62"/>
        <v>#NUM!</v>
      </c>
      <c r="I274" s="131" t="e">
        <f t="shared" ca="1" si="63"/>
        <v>#NUM!</v>
      </c>
      <c r="J274" s="66"/>
      <c r="K274" s="11"/>
      <c r="L274" s="11"/>
      <c r="M274" s="6" t="e">
        <f t="shared" ca="1" si="64"/>
        <v>#NUM!</v>
      </c>
      <c r="N274" s="40" t="str">
        <f t="shared" si="55"/>
        <v>256기 보수</v>
      </c>
      <c r="O274" s="38" t="e">
        <f t="shared" ca="1" si="65"/>
        <v>#NUM!</v>
      </c>
      <c r="P274" s="38" t="e">
        <f t="shared" ca="1" si="66"/>
        <v>#NAME?</v>
      </c>
      <c r="Q274" s="38" t="e">
        <f t="shared" ca="1" si="67"/>
        <v>#NUM!</v>
      </c>
      <c r="R274" s="38" t="e">
        <f t="shared" ca="1" si="68"/>
        <v>#NUM!</v>
      </c>
      <c r="S274" s="38" t="e">
        <f t="shared" ca="1" si="69"/>
        <v>#NUM!</v>
      </c>
      <c r="T274" s="38" t="e">
        <f t="shared" ca="1" si="70"/>
        <v>#NUM!</v>
      </c>
    </row>
    <row r="275" spans="1:20" ht="20.25" customHeight="1">
      <c r="A275" s="62"/>
      <c r="B275" s="6" t="e">
        <f t="shared" ca="1" si="56"/>
        <v>#NUM!</v>
      </c>
      <c r="C275" s="117" t="e">
        <f t="shared" ca="1" si="57"/>
        <v>#NUM!</v>
      </c>
      <c r="D275" s="131" t="e">
        <f t="shared" ca="1" si="58"/>
        <v>#NUM!</v>
      </c>
      <c r="E275" s="131" t="e">
        <f t="shared" ca="1" si="59"/>
        <v>#NUM!</v>
      </c>
      <c r="F275" s="137" t="e">
        <f t="shared" ca="1" si="60"/>
        <v>#NUM!</v>
      </c>
      <c r="G275" s="132" t="e">
        <f t="shared" ca="1" si="61"/>
        <v>#NUM!</v>
      </c>
      <c r="H275" s="132" t="e">
        <f t="shared" ca="1" si="62"/>
        <v>#NUM!</v>
      </c>
      <c r="I275" s="131" t="e">
        <f t="shared" ca="1" si="63"/>
        <v>#NUM!</v>
      </c>
      <c r="J275" s="66"/>
      <c r="K275" s="11"/>
      <c r="L275" s="11"/>
      <c r="M275" s="6" t="e">
        <f t="shared" ca="1" si="64"/>
        <v>#NUM!</v>
      </c>
      <c r="N275" s="40" t="str">
        <f t="shared" si="55"/>
        <v>257기 보수</v>
      </c>
      <c r="O275" s="38" t="e">
        <f t="shared" ca="1" si="65"/>
        <v>#NUM!</v>
      </c>
      <c r="P275" s="38" t="e">
        <f t="shared" ca="1" si="66"/>
        <v>#NAME?</v>
      </c>
      <c r="Q275" s="38" t="e">
        <f t="shared" ca="1" si="67"/>
        <v>#NUM!</v>
      </c>
      <c r="R275" s="38" t="e">
        <f t="shared" ca="1" si="68"/>
        <v>#NUM!</v>
      </c>
      <c r="S275" s="38" t="e">
        <f t="shared" ca="1" si="69"/>
        <v>#NUM!</v>
      </c>
      <c r="T275" s="38" t="e">
        <f t="shared" ca="1" si="70"/>
        <v>#NUM!</v>
      </c>
    </row>
    <row r="276" spans="1:20" ht="20.25" customHeight="1">
      <c r="A276" s="62"/>
      <c r="B276" s="6" t="e">
        <f t="shared" ca="1" si="56"/>
        <v>#NUM!</v>
      </c>
      <c r="C276" s="117" t="e">
        <f t="shared" ca="1" si="57"/>
        <v>#NUM!</v>
      </c>
      <c r="D276" s="131" t="e">
        <f t="shared" ca="1" si="58"/>
        <v>#NUM!</v>
      </c>
      <c r="E276" s="131" t="e">
        <f t="shared" ca="1" si="59"/>
        <v>#NUM!</v>
      </c>
      <c r="F276" s="137" t="e">
        <f t="shared" ca="1" si="60"/>
        <v>#NUM!</v>
      </c>
      <c r="G276" s="132" t="e">
        <f t="shared" ca="1" si="61"/>
        <v>#NUM!</v>
      </c>
      <c r="H276" s="132" t="e">
        <f t="shared" ca="1" si="62"/>
        <v>#NUM!</v>
      </c>
      <c r="I276" s="131" t="e">
        <f t="shared" ca="1" si="63"/>
        <v>#NUM!</v>
      </c>
      <c r="J276" s="66"/>
      <c r="K276" s="11"/>
      <c r="L276" s="11"/>
      <c r="M276" s="6" t="e">
        <f t="shared" ca="1" si="64"/>
        <v>#NUM!</v>
      </c>
      <c r="N276" s="40" t="str">
        <f t="shared" ref="N276:N318" si="71">ROW()-18&amp;"기 보수"</f>
        <v>258기 보수</v>
      </c>
      <c r="O276" s="38" t="e">
        <f t="shared" ca="1" si="65"/>
        <v>#NUM!</v>
      </c>
      <c r="P276" s="38" t="e">
        <f t="shared" ca="1" si="66"/>
        <v>#NAME?</v>
      </c>
      <c r="Q276" s="38" t="e">
        <f t="shared" ca="1" si="67"/>
        <v>#NUM!</v>
      </c>
      <c r="R276" s="38" t="e">
        <f t="shared" ca="1" si="68"/>
        <v>#NUM!</v>
      </c>
      <c r="S276" s="38" t="e">
        <f t="shared" ca="1" si="69"/>
        <v>#NUM!</v>
      </c>
      <c r="T276" s="38" t="e">
        <f t="shared" ca="1" si="70"/>
        <v>#NUM!</v>
      </c>
    </row>
    <row r="277" spans="1:20" ht="20.25" customHeight="1">
      <c r="A277" s="62"/>
      <c r="B277" s="6" t="e">
        <f t="shared" ref="B277:B318" ca="1" si="72">IF(B276&lt;$C$8,COUPNCD(B276,$C$8,IF($C$10=O$9,1,IF($C$10=O$8,2,4))),"")</f>
        <v>#NUM!</v>
      </c>
      <c r="C277" s="117" t="e">
        <f t="shared" ref="C277:C318" ca="1" si="73">IF(B277=$C$8,$E$9,"")</f>
        <v>#NUM!</v>
      </c>
      <c r="D277" s="131" t="e">
        <f t="shared" ref="D277:D318" ca="1" si="74">IF(B277="","",IF($C$13="krw",(TRUNC(($C$9*$E$9)/(IF($C$10=$O$9,1,IF($C$10=$O$8,2,4))),2)*$C$14),(TRUNC(($C$9*$E$9)/(IF($C$10=$O$9,1,IF($C$10=$O$8,2,4))),2))))</f>
        <v>#NUM!</v>
      </c>
      <c r="E277" s="131" t="e">
        <f t="shared" ref="E277:E318" ca="1" si="75">IF(B277="","",D277)</f>
        <v>#NUM!</v>
      </c>
      <c r="F277" s="137" t="e">
        <f t="shared" ref="F277:F318" ca="1" si="76">IF(B277="","",IF(E277&gt;R277,E277-R277,0))</f>
        <v>#NUM!</v>
      </c>
      <c r="G277" s="132" t="e">
        <f t="shared" ref="G277:G318" ca="1" si="77">IF(B277="","",IF($C$16="비과세(0%)",0,IF($C$16="표준(소득세14%+지방세)",ROUNDDOWN(F277*14%,2),ROUNDDOWN(F277*0%,-1))))</f>
        <v>#NUM!</v>
      </c>
      <c r="H277" s="132" t="e">
        <f t="shared" ref="H277:H318" ca="1" si="78">IF(B277="","",IF($C$16="비과세(0%)",0,IF($C$16="표준(소득세14%+지방세)",ROUNDDOWN(G277*10%,2),IF($E$4="개인",F277*1.4%,F277*2.8%))))</f>
        <v>#NUM!</v>
      </c>
      <c r="I277" s="131" t="e">
        <f t="shared" ref="I277:I318" ca="1" si="79">IF(B277="","",D277-P277-G277-H277)</f>
        <v>#NUM!</v>
      </c>
      <c r="J277" s="66"/>
      <c r="K277" s="11"/>
      <c r="L277" s="11"/>
      <c r="M277" s="6" t="e">
        <f t="shared" ref="M277:M318" ca="1" si="80">IF(B276&lt;$C$8,COUPNCD(M276,$C$8,IF($C$10=$O$9,1,IF($C$10=$O$8,2,4))),"")</f>
        <v>#NUM!</v>
      </c>
      <c r="N277" s="40" t="str">
        <f t="shared" si="71"/>
        <v>259기 보수</v>
      </c>
      <c r="O277" s="38" t="e">
        <f t="shared" ref="O277:O318" ca="1" si="81">S276</f>
        <v>#NUM!</v>
      </c>
      <c r="P277" s="38" t="e">
        <f t="shared" ref="P277:P318" ca="1" si="82">$I$7*$G$8/365*(_xlfn.DAYS(B277,M277))</f>
        <v>#NAME?</v>
      </c>
      <c r="Q277" s="38" t="e">
        <f t="shared" ref="Q277:Q318" ca="1" si="83">+T276+P277</f>
        <v>#NUM!</v>
      </c>
      <c r="R277" s="38" t="e">
        <f t="shared" ref="R277:R318" ca="1" si="84">+O277+Q277</f>
        <v>#NUM!</v>
      </c>
      <c r="S277" s="38" t="e">
        <f t="shared" ref="S277:S318" ca="1" si="85">IF(E277&lt;O277,O277-E277,0)</f>
        <v>#NUM!</v>
      </c>
      <c r="T277" s="38" t="e">
        <f t="shared" ref="T277:T318" ca="1" si="86">IF(S277&gt;0,Q277,IF(E277&gt;R277,0,Q277-(E277-O277)))</f>
        <v>#NUM!</v>
      </c>
    </row>
    <row r="278" spans="1:20" ht="20.25" customHeight="1">
      <c r="A278" s="62"/>
      <c r="B278" s="6" t="e">
        <f t="shared" ca="1" si="72"/>
        <v>#NUM!</v>
      </c>
      <c r="C278" s="117" t="e">
        <f t="shared" ca="1" si="73"/>
        <v>#NUM!</v>
      </c>
      <c r="D278" s="131" t="e">
        <f t="shared" ca="1" si="74"/>
        <v>#NUM!</v>
      </c>
      <c r="E278" s="131" t="e">
        <f t="shared" ca="1" si="75"/>
        <v>#NUM!</v>
      </c>
      <c r="F278" s="137" t="e">
        <f t="shared" ca="1" si="76"/>
        <v>#NUM!</v>
      </c>
      <c r="G278" s="132" t="e">
        <f t="shared" ca="1" si="77"/>
        <v>#NUM!</v>
      </c>
      <c r="H278" s="132" t="e">
        <f t="shared" ca="1" si="78"/>
        <v>#NUM!</v>
      </c>
      <c r="I278" s="131" t="e">
        <f t="shared" ca="1" si="79"/>
        <v>#NUM!</v>
      </c>
      <c r="J278" s="66"/>
      <c r="K278" s="11"/>
      <c r="L278" s="11"/>
      <c r="M278" s="6" t="e">
        <f t="shared" ca="1" si="80"/>
        <v>#NUM!</v>
      </c>
      <c r="N278" s="40" t="str">
        <f t="shared" si="71"/>
        <v>260기 보수</v>
      </c>
      <c r="O278" s="38" t="e">
        <f t="shared" ca="1" si="81"/>
        <v>#NUM!</v>
      </c>
      <c r="P278" s="38" t="e">
        <f t="shared" ca="1" si="82"/>
        <v>#NAME?</v>
      </c>
      <c r="Q278" s="38" t="e">
        <f t="shared" ca="1" si="83"/>
        <v>#NUM!</v>
      </c>
      <c r="R278" s="38" t="e">
        <f t="shared" ca="1" si="84"/>
        <v>#NUM!</v>
      </c>
      <c r="S278" s="38" t="e">
        <f t="shared" ca="1" si="85"/>
        <v>#NUM!</v>
      </c>
      <c r="T278" s="38" t="e">
        <f t="shared" ca="1" si="86"/>
        <v>#NUM!</v>
      </c>
    </row>
    <row r="279" spans="1:20" ht="20.25" customHeight="1">
      <c r="A279" s="62"/>
      <c r="B279" s="6" t="e">
        <f t="shared" ca="1" si="72"/>
        <v>#NUM!</v>
      </c>
      <c r="C279" s="117" t="e">
        <f t="shared" ca="1" si="73"/>
        <v>#NUM!</v>
      </c>
      <c r="D279" s="131" t="e">
        <f t="shared" ca="1" si="74"/>
        <v>#NUM!</v>
      </c>
      <c r="E279" s="131" t="e">
        <f t="shared" ca="1" si="75"/>
        <v>#NUM!</v>
      </c>
      <c r="F279" s="137" t="e">
        <f t="shared" ca="1" si="76"/>
        <v>#NUM!</v>
      </c>
      <c r="G279" s="132" t="e">
        <f t="shared" ca="1" si="77"/>
        <v>#NUM!</v>
      </c>
      <c r="H279" s="132" t="e">
        <f t="shared" ca="1" si="78"/>
        <v>#NUM!</v>
      </c>
      <c r="I279" s="131" t="e">
        <f t="shared" ca="1" si="79"/>
        <v>#NUM!</v>
      </c>
      <c r="J279" s="66"/>
      <c r="K279" s="11"/>
      <c r="L279" s="11"/>
      <c r="M279" s="6" t="e">
        <f t="shared" ca="1" si="80"/>
        <v>#NUM!</v>
      </c>
      <c r="N279" s="40" t="str">
        <f t="shared" si="71"/>
        <v>261기 보수</v>
      </c>
      <c r="O279" s="38" t="e">
        <f t="shared" ca="1" si="81"/>
        <v>#NUM!</v>
      </c>
      <c r="P279" s="38" t="e">
        <f t="shared" ca="1" si="82"/>
        <v>#NAME?</v>
      </c>
      <c r="Q279" s="38" t="e">
        <f t="shared" ca="1" si="83"/>
        <v>#NUM!</v>
      </c>
      <c r="R279" s="38" t="e">
        <f t="shared" ca="1" si="84"/>
        <v>#NUM!</v>
      </c>
      <c r="S279" s="38" t="e">
        <f t="shared" ca="1" si="85"/>
        <v>#NUM!</v>
      </c>
      <c r="T279" s="38" t="e">
        <f t="shared" ca="1" si="86"/>
        <v>#NUM!</v>
      </c>
    </row>
    <row r="280" spans="1:20" ht="20.25" customHeight="1">
      <c r="A280" s="62"/>
      <c r="B280" s="6" t="e">
        <f t="shared" ca="1" si="72"/>
        <v>#NUM!</v>
      </c>
      <c r="C280" s="117" t="e">
        <f t="shared" ca="1" si="73"/>
        <v>#NUM!</v>
      </c>
      <c r="D280" s="131" t="e">
        <f t="shared" ca="1" si="74"/>
        <v>#NUM!</v>
      </c>
      <c r="E280" s="131" t="e">
        <f t="shared" ca="1" si="75"/>
        <v>#NUM!</v>
      </c>
      <c r="F280" s="137" t="e">
        <f t="shared" ca="1" si="76"/>
        <v>#NUM!</v>
      </c>
      <c r="G280" s="132" t="e">
        <f t="shared" ca="1" si="77"/>
        <v>#NUM!</v>
      </c>
      <c r="H280" s="132" t="e">
        <f t="shared" ca="1" si="78"/>
        <v>#NUM!</v>
      </c>
      <c r="I280" s="131" t="e">
        <f t="shared" ca="1" si="79"/>
        <v>#NUM!</v>
      </c>
      <c r="J280" s="66"/>
      <c r="K280" s="11"/>
      <c r="L280" s="11"/>
      <c r="M280" s="6" t="e">
        <f t="shared" ca="1" si="80"/>
        <v>#NUM!</v>
      </c>
      <c r="N280" s="40" t="str">
        <f t="shared" si="71"/>
        <v>262기 보수</v>
      </c>
      <c r="O280" s="38" t="e">
        <f t="shared" ca="1" si="81"/>
        <v>#NUM!</v>
      </c>
      <c r="P280" s="38" t="e">
        <f t="shared" ca="1" si="82"/>
        <v>#NAME?</v>
      </c>
      <c r="Q280" s="38" t="e">
        <f t="shared" ca="1" si="83"/>
        <v>#NUM!</v>
      </c>
      <c r="R280" s="38" t="e">
        <f t="shared" ca="1" si="84"/>
        <v>#NUM!</v>
      </c>
      <c r="S280" s="38" t="e">
        <f t="shared" ca="1" si="85"/>
        <v>#NUM!</v>
      </c>
      <c r="T280" s="38" t="e">
        <f t="shared" ca="1" si="86"/>
        <v>#NUM!</v>
      </c>
    </row>
    <row r="281" spans="1:20" ht="20.25" customHeight="1">
      <c r="A281" s="62"/>
      <c r="B281" s="6" t="e">
        <f t="shared" ca="1" si="72"/>
        <v>#NUM!</v>
      </c>
      <c r="C281" s="117" t="e">
        <f t="shared" ca="1" si="73"/>
        <v>#NUM!</v>
      </c>
      <c r="D281" s="131" t="e">
        <f t="shared" ca="1" si="74"/>
        <v>#NUM!</v>
      </c>
      <c r="E281" s="131" t="e">
        <f t="shared" ca="1" si="75"/>
        <v>#NUM!</v>
      </c>
      <c r="F281" s="137" t="e">
        <f t="shared" ca="1" si="76"/>
        <v>#NUM!</v>
      </c>
      <c r="G281" s="132" t="e">
        <f t="shared" ca="1" si="77"/>
        <v>#NUM!</v>
      </c>
      <c r="H281" s="132" t="e">
        <f t="shared" ca="1" si="78"/>
        <v>#NUM!</v>
      </c>
      <c r="I281" s="131" t="e">
        <f t="shared" ca="1" si="79"/>
        <v>#NUM!</v>
      </c>
      <c r="J281" s="66"/>
      <c r="K281" s="11"/>
      <c r="L281" s="11"/>
      <c r="M281" s="6" t="e">
        <f t="shared" ca="1" si="80"/>
        <v>#NUM!</v>
      </c>
      <c r="N281" s="40" t="str">
        <f t="shared" si="71"/>
        <v>263기 보수</v>
      </c>
      <c r="O281" s="38" t="e">
        <f t="shared" ca="1" si="81"/>
        <v>#NUM!</v>
      </c>
      <c r="P281" s="38" t="e">
        <f t="shared" ca="1" si="82"/>
        <v>#NAME?</v>
      </c>
      <c r="Q281" s="38" t="e">
        <f t="shared" ca="1" si="83"/>
        <v>#NUM!</v>
      </c>
      <c r="R281" s="38" t="e">
        <f t="shared" ca="1" si="84"/>
        <v>#NUM!</v>
      </c>
      <c r="S281" s="38" t="e">
        <f t="shared" ca="1" si="85"/>
        <v>#NUM!</v>
      </c>
      <c r="T281" s="38" t="e">
        <f t="shared" ca="1" si="86"/>
        <v>#NUM!</v>
      </c>
    </row>
    <row r="282" spans="1:20" ht="20.25" customHeight="1">
      <c r="A282" s="62"/>
      <c r="B282" s="6" t="e">
        <f t="shared" ca="1" si="72"/>
        <v>#NUM!</v>
      </c>
      <c r="C282" s="117" t="e">
        <f t="shared" ca="1" si="73"/>
        <v>#NUM!</v>
      </c>
      <c r="D282" s="131" t="e">
        <f t="shared" ca="1" si="74"/>
        <v>#NUM!</v>
      </c>
      <c r="E282" s="131" t="e">
        <f t="shared" ca="1" si="75"/>
        <v>#NUM!</v>
      </c>
      <c r="F282" s="137" t="e">
        <f t="shared" ca="1" si="76"/>
        <v>#NUM!</v>
      </c>
      <c r="G282" s="132" t="e">
        <f t="shared" ca="1" si="77"/>
        <v>#NUM!</v>
      </c>
      <c r="H282" s="132" t="e">
        <f t="shared" ca="1" si="78"/>
        <v>#NUM!</v>
      </c>
      <c r="I282" s="131" t="e">
        <f t="shared" ca="1" si="79"/>
        <v>#NUM!</v>
      </c>
      <c r="J282" s="66"/>
      <c r="K282" s="11"/>
      <c r="L282" s="11"/>
      <c r="M282" s="6" t="e">
        <f t="shared" ca="1" si="80"/>
        <v>#NUM!</v>
      </c>
      <c r="N282" s="40" t="str">
        <f t="shared" si="71"/>
        <v>264기 보수</v>
      </c>
      <c r="O282" s="38" t="e">
        <f t="shared" ca="1" si="81"/>
        <v>#NUM!</v>
      </c>
      <c r="P282" s="38" t="e">
        <f t="shared" ca="1" si="82"/>
        <v>#NAME?</v>
      </c>
      <c r="Q282" s="38" t="e">
        <f t="shared" ca="1" si="83"/>
        <v>#NUM!</v>
      </c>
      <c r="R282" s="38" t="e">
        <f t="shared" ca="1" si="84"/>
        <v>#NUM!</v>
      </c>
      <c r="S282" s="38" t="e">
        <f t="shared" ca="1" si="85"/>
        <v>#NUM!</v>
      </c>
      <c r="T282" s="38" t="e">
        <f t="shared" ca="1" si="86"/>
        <v>#NUM!</v>
      </c>
    </row>
    <row r="283" spans="1:20" ht="20.25" customHeight="1">
      <c r="A283" s="62"/>
      <c r="B283" s="6" t="e">
        <f t="shared" ca="1" si="72"/>
        <v>#NUM!</v>
      </c>
      <c r="C283" s="117" t="e">
        <f t="shared" ca="1" si="73"/>
        <v>#NUM!</v>
      </c>
      <c r="D283" s="131" t="e">
        <f t="shared" ca="1" si="74"/>
        <v>#NUM!</v>
      </c>
      <c r="E283" s="131" t="e">
        <f t="shared" ca="1" si="75"/>
        <v>#NUM!</v>
      </c>
      <c r="F283" s="137" t="e">
        <f t="shared" ca="1" si="76"/>
        <v>#NUM!</v>
      </c>
      <c r="G283" s="132" t="e">
        <f t="shared" ca="1" si="77"/>
        <v>#NUM!</v>
      </c>
      <c r="H283" s="132" t="e">
        <f t="shared" ca="1" si="78"/>
        <v>#NUM!</v>
      </c>
      <c r="I283" s="131" t="e">
        <f t="shared" ca="1" si="79"/>
        <v>#NUM!</v>
      </c>
      <c r="J283" s="66"/>
      <c r="K283" s="11"/>
      <c r="L283" s="11"/>
      <c r="M283" s="6" t="e">
        <f t="shared" ca="1" si="80"/>
        <v>#NUM!</v>
      </c>
      <c r="N283" s="40" t="str">
        <f t="shared" si="71"/>
        <v>265기 보수</v>
      </c>
      <c r="O283" s="38" t="e">
        <f t="shared" ca="1" si="81"/>
        <v>#NUM!</v>
      </c>
      <c r="P283" s="38" t="e">
        <f t="shared" ca="1" si="82"/>
        <v>#NAME?</v>
      </c>
      <c r="Q283" s="38" t="e">
        <f t="shared" ca="1" si="83"/>
        <v>#NUM!</v>
      </c>
      <c r="R283" s="38" t="e">
        <f t="shared" ca="1" si="84"/>
        <v>#NUM!</v>
      </c>
      <c r="S283" s="38" t="e">
        <f t="shared" ca="1" si="85"/>
        <v>#NUM!</v>
      </c>
      <c r="T283" s="38" t="e">
        <f t="shared" ca="1" si="86"/>
        <v>#NUM!</v>
      </c>
    </row>
    <row r="284" spans="1:20" ht="20.25" customHeight="1">
      <c r="A284" s="62"/>
      <c r="B284" s="6" t="e">
        <f t="shared" ca="1" si="72"/>
        <v>#NUM!</v>
      </c>
      <c r="C284" s="117" t="e">
        <f t="shared" ca="1" si="73"/>
        <v>#NUM!</v>
      </c>
      <c r="D284" s="131" t="e">
        <f t="shared" ca="1" si="74"/>
        <v>#NUM!</v>
      </c>
      <c r="E284" s="131" t="e">
        <f t="shared" ca="1" si="75"/>
        <v>#NUM!</v>
      </c>
      <c r="F284" s="137" t="e">
        <f t="shared" ca="1" si="76"/>
        <v>#NUM!</v>
      </c>
      <c r="G284" s="132" t="e">
        <f t="shared" ca="1" si="77"/>
        <v>#NUM!</v>
      </c>
      <c r="H284" s="132" t="e">
        <f t="shared" ca="1" si="78"/>
        <v>#NUM!</v>
      </c>
      <c r="I284" s="131" t="e">
        <f t="shared" ca="1" si="79"/>
        <v>#NUM!</v>
      </c>
      <c r="J284" s="66"/>
      <c r="K284" s="11"/>
      <c r="L284" s="11"/>
      <c r="M284" s="6" t="e">
        <f t="shared" ca="1" si="80"/>
        <v>#NUM!</v>
      </c>
      <c r="N284" s="40" t="str">
        <f t="shared" si="71"/>
        <v>266기 보수</v>
      </c>
      <c r="O284" s="38" t="e">
        <f t="shared" ca="1" si="81"/>
        <v>#NUM!</v>
      </c>
      <c r="P284" s="38" t="e">
        <f t="shared" ca="1" si="82"/>
        <v>#NAME?</v>
      </c>
      <c r="Q284" s="38" t="e">
        <f t="shared" ca="1" si="83"/>
        <v>#NUM!</v>
      </c>
      <c r="R284" s="38" t="e">
        <f t="shared" ca="1" si="84"/>
        <v>#NUM!</v>
      </c>
      <c r="S284" s="38" t="e">
        <f t="shared" ca="1" si="85"/>
        <v>#NUM!</v>
      </c>
      <c r="T284" s="38" t="e">
        <f t="shared" ca="1" si="86"/>
        <v>#NUM!</v>
      </c>
    </row>
    <row r="285" spans="1:20" ht="20.25" customHeight="1">
      <c r="A285" s="62"/>
      <c r="B285" s="6" t="e">
        <f t="shared" ca="1" si="72"/>
        <v>#NUM!</v>
      </c>
      <c r="C285" s="117" t="e">
        <f t="shared" ca="1" si="73"/>
        <v>#NUM!</v>
      </c>
      <c r="D285" s="131" t="e">
        <f t="shared" ca="1" si="74"/>
        <v>#NUM!</v>
      </c>
      <c r="E285" s="131" t="e">
        <f t="shared" ca="1" si="75"/>
        <v>#NUM!</v>
      </c>
      <c r="F285" s="137" t="e">
        <f t="shared" ca="1" si="76"/>
        <v>#NUM!</v>
      </c>
      <c r="G285" s="132" t="e">
        <f t="shared" ca="1" si="77"/>
        <v>#NUM!</v>
      </c>
      <c r="H285" s="132" t="e">
        <f t="shared" ca="1" si="78"/>
        <v>#NUM!</v>
      </c>
      <c r="I285" s="131" t="e">
        <f t="shared" ca="1" si="79"/>
        <v>#NUM!</v>
      </c>
      <c r="J285" s="66"/>
      <c r="K285" s="11"/>
      <c r="L285" s="11"/>
      <c r="M285" s="6" t="e">
        <f t="shared" ca="1" si="80"/>
        <v>#NUM!</v>
      </c>
      <c r="N285" s="40" t="str">
        <f t="shared" si="71"/>
        <v>267기 보수</v>
      </c>
      <c r="O285" s="38" t="e">
        <f t="shared" ca="1" si="81"/>
        <v>#NUM!</v>
      </c>
      <c r="P285" s="38" t="e">
        <f t="shared" ca="1" si="82"/>
        <v>#NAME?</v>
      </c>
      <c r="Q285" s="38" t="e">
        <f t="shared" ca="1" si="83"/>
        <v>#NUM!</v>
      </c>
      <c r="R285" s="38" t="e">
        <f t="shared" ca="1" si="84"/>
        <v>#NUM!</v>
      </c>
      <c r="S285" s="38" t="e">
        <f t="shared" ca="1" si="85"/>
        <v>#NUM!</v>
      </c>
      <c r="T285" s="38" t="e">
        <f t="shared" ca="1" si="86"/>
        <v>#NUM!</v>
      </c>
    </row>
    <row r="286" spans="1:20" ht="20.25" customHeight="1">
      <c r="A286" s="62"/>
      <c r="B286" s="6" t="e">
        <f t="shared" ca="1" si="72"/>
        <v>#NUM!</v>
      </c>
      <c r="C286" s="117" t="e">
        <f t="shared" ca="1" si="73"/>
        <v>#NUM!</v>
      </c>
      <c r="D286" s="131" t="e">
        <f t="shared" ca="1" si="74"/>
        <v>#NUM!</v>
      </c>
      <c r="E286" s="131" t="e">
        <f t="shared" ca="1" si="75"/>
        <v>#NUM!</v>
      </c>
      <c r="F286" s="137" t="e">
        <f t="shared" ca="1" si="76"/>
        <v>#NUM!</v>
      </c>
      <c r="G286" s="132" t="e">
        <f t="shared" ca="1" si="77"/>
        <v>#NUM!</v>
      </c>
      <c r="H286" s="132" t="e">
        <f t="shared" ca="1" si="78"/>
        <v>#NUM!</v>
      </c>
      <c r="I286" s="131" t="e">
        <f t="shared" ca="1" si="79"/>
        <v>#NUM!</v>
      </c>
      <c r="J286" s="66"/>
      <c r="K286" s="11"/>
      <c r="L286" s="11"/>
      <c r="M286" s="6" t="e">
        <f t="shared" ca="1" si="80"/>
        <v>#NUM!</v>
      </c>
      <c r="N286" s="40" t="str">
        <f t="shared" si="71"/>
        <v>268기 보수</v>
      </c>
      <c r="O286" s="38" t="e">
        <f t="shared" ca="1" si="81"/>
        <v>#NUM!</v>
      </c>
      <c r="P286" s="38" t="e">
        <f t="shared" ca="1" si="82"/>
        <v>#NAME?</v>
      </c>
      <c r="Q286" s="38" t="e">
        <f t="shared" ca="1" si="83"/>
        <v>#NUM!</v>
      </c>
      <c r="R286" s="38" t="e">
        <f t="shared" ca="1" si="84"/>
        <v>#NUM!</v>
      </c>
      <c r="S286" s="38" t="e">
        <f t="shared" ca="1" si="85"/>
        <v>#NUM!</v>
      </c>
      <c r="T286" s="38" t="e">
        <f t="shared" ca="1" si="86"/>
        <v>#NUM!</v>
      </c>
    </row>
    <row r="287" spans="1:20" ht="20.25" customHeight="1">
      <c r="A287" s="62"/>
      <c r="B287" s="6" t="e">
        <f t="shared" ca="1" si="72"/>
        <v>#NUM!</v>
      </c>
      <c r="C287" s="117" t="e">
        <f t="shared" ca="1" si="73"/>
        <v>#NUM!</v>
      </c>
      <c r="D287" s="131" t="e">
        <f t="shared" ca="1" si="74"/>
        <v>#NUM!</v>
      </c>
      <c r="E287" s="131" t="e">
        <f t="shared" ca="1" si="75"/>
        <v>#NUM!</v>
      </c>
      <c r="F287" s="137" t="e">
        <f t="shared" ca="1" si="76"/>
        <v>#NUM!</v>
      </c>
      <c r="G287" s="132" t="e">
        <f t="shared" ca="1" si="77"/>
        <v>#NUM!</v>
      </c>
      <c r="H287" s="132" t="e">
        <f t="shared" ca="1" si="78"/>
        <v>#NUM!</v>
      </c>
      <c r="I287" s="131" t="e">
        <f t="shared" ca="1" si="79"/>
        <v>#NUM!</v>
      </c>
      <c r="J287" s="66"/>
      <c r="K287" s="11"/>
      <c r="L287" s="11"/>
      <c r="M287" s="6" t="e">
        <f t="shared" ca="1" si="80"/>
        <v>#NUM!</v>
      </c>
      <c r="N287" s="40" t="str">
        <f t="shared" si="71"/>
        <v>269기 보수</v>
      </c>
      <c r="O287" s="38" t="e">
        <f t="shared" ca="1" si="81"/>
        <v>#NUM!</v>
      </c>
      <c r="P287" s="38" t="e">
        <f t="shared" ca="1" si="82"/>
        <v>#NAME?</v>
      </c>
      <c r="Q287" s="38" t="e">
        <f t="shared" ca="1" si="83"/>
        <v>#NUM!</v>
      </c>
      <c r="R287" s="38" t="e">
        <f t="shared" ca="1" si="84"/>
        <v>#NUM!</v>
      </c>
      <c r="S287" s="38" t="e">
        <f t="shared" ca="1" si="85"/>
        <v>#NUM!</v>
      </c>
      <c r="T287" s="38" t="e">
        <f t="shared" ca="1" si="86"/>
        <v>#NUM!</v>
      </c>
    </row>
    <row r="288" spans="1:20" ht="20.25" customHeight="1">
      <c r="A288" s="62"/>
      <c r="B288" s="6" t="e">
        <f t="shared" ca="1" si="72"/>
        <v>#NUM!</v>
      </c>
      <c r="C288" s="117" t="e">
        <f t="shared" ca="1" si="73"/>
        <v>#NUM!</v>
      </c>
      <c r="D288" s="131" t="e">
        <f t="shared" ca="1" si="74"/>
        <v>#NUM!</v>
      </c>
      <c r="E288" s="131" t="e">
        <f t="shared" ca="1" si="75"/>
        <v>#NUM!</v>
      </c>
      <c r="F288" s="137" t="e">
        <f t="shared" ca="1" si="76"/>
        <v>#NUM!</v>
      </c>
      <c r="G288" s="132" t="e">
        <f t="shared" ca="1" si="77"/>
        <v>#NUM!</v>
      </c>
      <c r="H288" s="132" t="e">
        <f t="shared" ca="1" si="78"/>
        <v>#NUM!</v>
      </c>
      <c r="I288" s="131" t="e">
        <f t="shared" ca="1" si="79"/>
        <v>#NUM!</v>
      </c>
      <c r="J288" s="66"/>
      <c r="K288" s="11"/>
      <c r="L288" s="11"/>
      <c r="M288" s="6" t="e">
        <f t="shared" ca="1" si="80"/>
        <v>#NUM!</v>
      </c>
      <c r="N288" s="40" t="str">
        <f t="shared" si="71"/>
        <v>270기 보수</v>
      </c>
      <c r="O288" s="38" t="e">
        <f t="shared" ca="1" si="81"/>
        <v>#NUM!</v>
      </c>
      <c r="P288" s="38" t="e">
        <f t="shared" ca="1" si="82"/>
        <v>#NAME?</v>
      </c>
      <c r="Q288" s="38" t="e">
        <f t="shared" ca="1" si="83"/>
        <v>#NUM!</v>
      </c>
      <c r="R288" s="38" t="e">
        <f t="shared" ca="1" si="84"/>
        <v>#NUM!</v>
      </c>
      <c r="S288" s="38" t="e">
        <f t="shared" ca="1" si="85"/>
        <v>#NUM!</v>
      </c>
      <c r="T288" s="38" t="e">
        <f t="shared" ca="1" si="86"/>
        <v>#NUM!</v>
      </c>
    </row>
    <row r="289" spans="1:20" ht="20.25" customHeight="1">
      <c r="A289" s="62"/>
      <c r="B289" s="6" t="e">
        <f t="shared" ca="1" si="72"/>
        <v>#NUM!</v>
      </c>
      <c r="C289" s="117" t="e">
        <f t="shared" ca="1" si="73"/>
        <v>#NUM!</v>
      </c>
      <c r="D289" s="131" t="e">
        <f t="shared" ca="1" si="74"/>
        <v>#NUM!</v>
      </c>
      <c r="E289" s="131" t="e">
        <f t="shared" ca="1" si="75"/>
        <v>#NUM!</v>
      </c>
      <c r="F289" s="137" t="e">
        <f t="shared" ca="1" si="76"/>
        <v>#NUM!</v>
      </c>
      <c r="G289" s="132" t="e">
        <f t="shared" ca="1" si="77"/>
        <v>#NUM!</v>
      </c>
      <c r="H289" s="132" t="e">
        <f t="shared" ca="1" si="78"/>
        <v>#NUM!</v>
      </c>
      <c r="I289" s="131" t="e">
        <f t="shared" ca="1" si="79"/>
        <v>#NUM!</v>
      </c>
      <c r="J289" s="66"/>
      <c r="K289" s="11"/>
      <c r="L289" s="11"/>
      <c r="M289" s="6" t="e">
        <f t="shared" ca="1" si="80"/>
        <v>#NUM!</v>
      </c>
      <c r="N289" s="40" t="str">
        <f t="shared" si="71"/>
        <v>271기 보수</v>
      </c>
      <c r="O289" s="38" t="e">
        <f t="shared" ca="1" si="81"/>
        <v>#NUM!</v>
      </c>
      <c r="P289" s="38" t="e">
        <f t="shared" ca="1" si="82"/>
        <v>#NAME?</v>
      </c>
      <c r="Q289" s="38" t="e">
        <f t="shared" ca="1" si="83"/>
        <v>#NUM!</v>
      </c>
      <c r="R289" s="38" t="e">
        <f t="shared" ca="1" si="84"/>
        <v>#NUM!</v>
      </c>
      <c r="S289" s="38" t="e">
        <f t="shared" ca="1" si="85"/>
        <v>#NUM!</v>
      </c>
      <c r="T289" s="38" t="e">
        <f t="shared" ca="1" si="86"/>
        <v>#NUM!</v>
      </c>
    </row>
    <row r="290" spans="1:20" ht="20.25" customHeight="1">
      <c r="A290" s="62"/>
      <c r="B290" s="6" t="e">
        <f t="shared" ca="1" si="72"/>
        <v>#NUM!</v>
      </c>
      <c r="C290" s="117" t="e">
        <f t="shared" ca="1" si="73"/>
        <v>#NUM!</v>
      </c>
      <c r="D290" s="131" t="e">
        <f t="shared" ca="1" si="74"/>
        <v>#NUM!</v>
      </c>
      <c r="E290" s="131" t="e">
        <f t="shared" ca="1" si="75"/>
        <v>#NUM!</v>
      </c>
      <c r="F290" s="137" t="e">
        <f t="shared" ca="1" si="76"/>
        <v>#NUM!</v>
      </c>
      <c r="G290" s="132" t="e">
        <f t="shared" ca="1" si="77"/>
        <v>#NUM!</v>
      </c>
      <c r="H290" s="132" t="e">
        <f t="shared" ca="1" si="78"/>
        <v>#NUM!</v>
      </c>
      <c r="I290" s="131" t="e">
        <f t="shared" ca="1" si="79"/>
        <v>#NUM!</v>
      </c>
      <c r="J290" s="66"/>
      <c r="K290" s="11"/>
      <c r="L290" s="11"/>
      <c r="M290" s="6" t="e">
        <f t="shared" ca="1" si="80"/>
        <v>#NUM!</v>
      </c>
      <c r="N290" s="40" t="str">
        <f t="shared" si="71"/>
        <v>272기 보수</v>
      </c>
      <c r="O290" s="38" t="e">
        <f t="shared" ca="1" si="81"/>
        <v>#NUM!</v>
      </c>
      <c r="P290" s="38" t="e">
        <f t="shared" ca="1" si="82"/>
        <v>#NAME?</v>
      </c>
      <c r="Q290" s="38" t="e">
        <f t="shared" ca="1" si="83"/>
        <v>#NUM!</v>
      </c>
      <c r="R290" s="38" t="e">
        <f t="shared" ca="1" si="84"/>
        <v>#NUM!</v>
      </c>
      <c r="S290" s="38" t="e">
        <f t="shared" ca="1" si="85"/>
        <v>#NUM!</v>
      </c>
      <c r="T290" s="38" t="e">
        <f t="shared" ca="1" si="86"/>
        <v>#NUM!</v>
      </c>
    </row>
    <row r="291" spans="1:20" ht="20.25" customHeight="1">
      <c r="A291" s="62"/>
      <c r="B291" s="6" t="e">
        <f t="shared" ca="1" si="72"/>
        <v>#NUM!</v>
      </c>
      <c r="C291" s="117" t="e">
        <f t="shared" ca="1" si="73"/>
        <v>#NUM!</v>
      </c>
      <c r="D291" s="131" t="e">
        <f t="shared" ca="1" si="74"/>
        <v>#NUM!</v>
      </c>
      <c r="E291" s="131" t="e">
        <f t="shared" ca="1" si="75"/>
        <v>#NUM!</v>
      </c>
      <c r="F291" s="137" t="e">
        <f t="shared" ca="1" si="76"/>
        <v>#NUM!</v>
      </c>
      <c r="G291" s="132" t="e">
        <f t="shared" ca="1" si="77"/>
        <v>#NUM!</v>
      </c>
      <c r="H291" s="132" t="e">
        <f t="shared" ca="1" si="78"/>
        <v>#NUM!</v>
      </c>
      <c r="I291" s="131" t="e">
        <f t="shared" ca="1" si="79"/>
        <v>#NUM!</v>
      </c>
      <c r="J291" s="66"/>
      <c r="K291" s="11"/>
      <c r="L291" s="11"/>
      <c r="M291" s="6" t="e">
        <f t="shared" ca="1" si="80"/>
        <v>#NUM!</v>
      </c>
      <c r="N291" s="40" t="str">
        <f t="shared" si="71"/>
        <v>273기 보수</v>
      </c>
      <c r="O291" s="38" t="e">
        <f t="shared" ca="1" si="81"/>
        <v>#NUM!</v>
      </c>
      <c r="P291" s="38" t="e">
        <f t="shared" ca="1" si="82"/>
        <v>#NAME?</v>
      </c>
      <c r="Q291" s="38" t="e">
        <f t="shared" ca="1" si="83"/>
        <v>#NUM!</v>
      </c>
      <c r="R291" s="38" t="e">
        <f t="shared" ca="1" si="84"/>
        <v>#NUM!</v>
      </c>
      <c r="S291" s="38" t="e">
        <f t="shared" ca="1" si="85"/>
        <v>#NUM!</v>
      </c>
      <c r="T291" s="38" t="e">
        <f t="shared" ca="1" si="86"/>
        <v>#NUM!</v>
      </c>
    </row>
    <row r="292" spans="1:20" ht="20.25" customHeight="1">
      <c r="A292" s="62"/>
      <c r="B292" s="6" t="e">
        <f t="shared" ca="1" si="72"/>
        <v>#NUM!</v>
      </c>
      <c r="C292" s="117" t="e">
        <f t="shared" ca="1" si="73"/>
        <v>#NUM!</v>
      </c>
      <c r="D292" s="131" t="e">
        <f t="shared" ca="1" si="74"/>
        <v>#NUM!</v>
      </c>
      <c r="E292" s="131" t="e">
        <f t="shared" ca="1" si="75"/>
        <v>#NUM!</v>
      </c>
      <c r="F292" s="137" t="e">
        <f t="shared" ca="1" si="76"/>
        <v>#NUM!</v>
      </c>
      <c r="G292" s="132" t="e">
        <f t="shared" ca="1" si="77"/>
        <v>#NUM!</v>
      </c>
      <c r="H292" s="132" t="e">
        <f t="shared" ca="1" si="78"/>
        <v>#NUM!</v>
      </c>
      <c r="I292" s="131" t="e">
        <f t="shared" ca="1" si="79"/>
        <v>#NUM!</v>
      </c>
      <c r="J292" s="66"/>
      <c r="K292" s="11"/>
      <c r="L292" s="11"/>
      <c r="M292" s="6" t="e">
        <f t="shared" ca="1" si="80"/>
        <v>#NUM!</v>
      </c>
      <c r="N292" s="40" t="str">
        <f t="shared" si="71"/>
        <v>274기 보수</v>
      </c>
      <c r="O292" s="38" t="e">
        <f t="shared" ca="1" si="81"/>
        <v>#NUM!</v>
      </c>
      <c r="P292" s="38" t="e">
        <f t="shared" ca="1" si="82"/>
        <v>#NAME?</v>
      </c>
      <c r="Q292" s="38" t="e">
        <f t="shared" ca="1" si="83"/>
        <v>#NUM!</v>
      </c>
      <c r="R292" s="38" t="e">
        <f t="shared" ca="1" si="84"/>
        <v>#NUM!</v>
      </c>
      <c r="S292" s="38" t="e">
        <f t="shared" ca="1" si="85"/>
        <v>#NUM!</v>
      </c>
      <c r="T292" s="38" t="e">
        <f t="shared" ca="1" si="86"/>
        <v>#NUM!</v>
      </c>
    </row>
    <row r="293" spans="1:20" ht="20.25" customHeight="1">
      <c r="A293" s="62"/>
      <c r="B293" s="6" t="e">
        <f t="shared" ca="1" si="72"/>
        <v>#NUM!</v>
      </c>
      <c r="C293" s="117" t="e">
        <f t="shared" ca="1" si="73"/>
        <v>#NUM!</v>
      </c>
      <c r="D293" s="131" t="e">
        <f t="shared" ca="1" si="74"/>
        <v>#NUM!</v>
      </c>
      <c r="E293" s="131" t="e">
        <f t="shared" ca="1" si="75"/>
        <v>#NUM!</v>
      </c>
      <c r="F293" s="137" t="e">
        <f t="shared" ca="1" si="76"/>
        <v>#NUM!</v>
      </c>
      <c r="G293" s="132" t="e">
        <f t="shared" ca="1" si="77"/>
        <v>#NUM!</v>
      </c>
      <c r="H293" s="132" t="e">
        <f t="shared" ca="1" si="78"/>
        <v>#NUM!</v>
      </c>
      <c r="I293" s="131" t="e">
        <f t="shared" ca="1" si="79"/>
        <v>#NUM!</v>
      </c>
      <c r="J293" s="66"/>
      <c r="K293" s="11"/>
      <c r="L293" s="11"/>
      <c r="M293" s="6" t="e">
        <f t="shared" ca="1" si="80"/>
        <v>#NUM!</v>
      </c>
      <c r="N293" s="40" t="str">
        <f t="shared" si="71"/>
        <v>275기 보수</v>
      </c>
      <c r="O293" s="38" t="e">
        <f t="shared" ca="1" si="81"/>
        <v>#NUM!</v>
      </c>
      <c r="P293" s="38" t="e">
        <f t="shared" ca="1" si="82"/>
        <v>#NAME?</v>
      </c>
      <c r="Q293" s="38" t="e">
        <f t="shared" ca="1" si="83"/>
        <v>#NUM!</v>
      </c>
      <c r="R293" s="38" t="e">
        <f t="shared" ca="1" si="84"/>
        <v>#NUM!</v>
      </c>
      <c r="S293" s="38" t="e">
        <f t="shared" ca="1" si="85"/>
        <v>#NUM!</v>
      </c>
      <c r="T293" s="38" t="e">
        <f t="shared" ca="1" si="86"/>
        <v>#NUM!</v>
      </c>
    </row>
    <row r="294" spans="1:20" ht="20.25" customHeight="1">
      <c r="A294" s="62"/>
      <c r="B294" s="6" t="e">
        <f t="shared" ca="1" si="72"/>
        <v>#NUM!</v>
      </c>
      <c r="C294" s="117" t="e">
        <f t="shared" ca="1" si="73"/>
        <v>#NUM!</v>
      </c>
      <c r="D294" s="131" t="e">
        <f t="shared" ca="1" si="74"/>
        <v>#NUM!</v>
      </c>
      <c r="E294" s="131" t="e">
        <f t="shared" ca="1" si="75"/>
        <v>#NUM!</v>
      </c>
      <c r="F294" s="137" t="e">
        <f t="shared" ca="1" si="76"/>
        <v>#NUM!</v>
      </c>
      <c r="G294" s="132" t="e">
        <f t="shared" ca="1" si="77"/>
        <v>#NUM!</v>
      </c>
      <c r="H294" s="132" t="e">
        <f t="shared" ca="1" si="78"/>
        <v>#NUM!</v>
      </c>
      <c r="I294" s="131" t="e">
        <f t="shared" ca="1" si="79"/>
        <v>#NUM!</v>
      </c>
      <c r="J294" s="66"/>
      <c r="K294" s="11"/>
      <c r="L294" s="11"/>
      <c r="M294" s="6" t="e">
        <f t="shared" ca="1" si="80"/>
        <v>#NUM!</v>
      </c>
      <c r="N294" s="40" t="str">
        <f t="shared" si="71"/>
        <v>276기 보수</v>
      </c>
      <c r="O294" s="38" t="e">
        <f t="shared" ca="1" si="81"/>
        <v>#NUM!</v>
      </c>
      <c r="P294" s="38" t="e">
        <f t="shared" ca="1" si="82"/>
        <v>#NAME?</v>
      </c>
      <c r="Q294" s="38" t="e">
        <f t="shared" ca="1" si="83"/>
        <v>#NUM!</v>
      </c>
      <c r="R294" s="38" t="e">
        <f t="shared" ca="1" si="84"/>
        <v>#NUM!</v>
      </c>
      <c r="S294" s="38" t="e">
        <f t="shared" ca="1" si="85"/>
        <v>#NUM!</v>
      </c>
      <c r="T294" s="38" t="e">
        <f t="shared" ca="1" si="86"/>
        <v>#NUM!</v>
      </c>
    </row>
    <row r="295" spans="1:20" ht="20.25" customHeight="1">
      <c r="A295" s="62"/>
      <c r="B295" s="6" t="e">
        <f t="shared" ca="1" si="72"/>
        <v>#NUM!</v>
      </c>
      <c r="C295" s="117" t="e">
        <f t="shared" ca="1" si="73"/>
        <v>#NUM!</v>
      </c>
      <c r="D295" s="131" t="e">
        <f t="shared" ca="1" si="74"/>
        <v>#NUM!</v>
      </c>
      <c r="E295" s="131" t="e">
        <f t="shared" ca="1" si="75"/>
        <v>#NUM!</v>
      </c>
      <c r="F295" s="137" t="e">
        <f t="shared" ca="1" si="76"/>
        <v>#NUM!</v>
      </c>
      <c r="G295" s="132" t="e">
        <f t="shared" ca="1" si="77"/>
        <v>#NUM!</v>
      </c>
      <c r="H295" s="132" t="e">
        <f t="shared" ca="1" si="78"/>
        <v>#NUM!</v>
      </c>
      <c r="I295" s="131" t="e">
        <f t="shared" ca="1" si="79"/>
        <v>#NUM!</v>
      </c>
      <c r="J295" s="66"/>
      <c r="K295" s="11"/>
      <c r="L295" s="11"/>
      <c r="M295" s="6" t="e">
        <f t="shared" ca="1" si="80"/>
        <v>#NUM!</v>
      </c>
      <c r="N295" s="40" t="str">
        <f t="shared" si="71"/>
        <v>277기 보수</v>
      </c>
      <c r="O295" s="38" t="e">
        <f t="shared" ca="1" si="81"/>
        <v>#NUM!</v>
      </c>
      <c r="P295" s="38" t="e">
        <f t="shared" ca="1" si="82"/>
        <v>#NAME?</v>
      </c>
      <c r="Q295" s="38" t="e">
        <f t="shared" ca="1" si="83"/>
        <v>#NUM!</v>
      </c>
      <c r="R295" s="38" t="e">
        <f t="shared" ca="1" si="84"/>
        <v>#NUM!</v>
      </c>
      <c r="S295" s="38" t="e">
        <f t="shared" ca="1" si="85"/>
        <v>#NUM!</v>
      </c>
      <c r="T295" s="38" t="e">
        <f t="shared" ca="1" si="86"/>
        <v>#NUM!</v>
      </c>
    </row>
    <row r="296" spans="1:20" ht="20.25" customHeight="1">
      <c r="A296" s="62"/>
      <c r="B296" s="6" t="e">
        <f t="shared" ca="1" si="72"/>
        <v>#NUM!</v>
      </c>
      <c r="C296" s="117" t="e">
        <f t="shared" ca="1" si="73"/>
        <v>#NUM!</v>
      </c>
      <c r="D296" s="131" t="e">
        <f t="shared" ca="1" si="74"/>
        <v>#NUM!</v>
      </c>
      <c r="E296" s="131" t="e">
        <f t="shared" ca="1" si="75"/>
        <v>#NUM!</v>
      </c>
      <c r="F296" s="137" t="e">
        <f t="shared" ca="1" si="76"/>
        <v>#NUM!</v>
      </c>
      <c r="G296" s="132" t="e">
        <f t="shared" ca="1" si="77"/>
        <v>#NUM!</v>
      </c>
      <c r="H296" s="132" t="e">
        <f t="shared" ca="1" si="78"/>
        <v>#NUM!</v>
      </c>
      <c r="I296" s="131" t="e">
        <f t="shared" ca="1" si="79"/>
        <v>#NUM!</v>
      </c>
      <c r="J296" s="66"/>
      <c r="K296" s="11"/>
      <c r="L296" s="11"/>
      <c r="M296" s="6" t="e">
        <f t="shared" ca="1" si="80"/>
        <v>#NUM!</v>
      </c>
      <c r="N296" s="40" t="str">
        <f t="shared" si="71"/>
        <v>278기 보수</v>
      </c>
      <c r="O296" s="38" t="e">
        <f t="shared" ca="1" si="81"/>
        <v>#NUM!</v>
      </c>
      <c r="P296" s="38" t="e">
        <f t="shared" ca="1" si="82"/>
        <v>#NAME?</v>
      </c>
      <c r="Q296" s="38" t="e">
        <f t="shared" ca="1" si="83"/>
        <v>#NUM!</v>
      </c>
      <c r="R296" s="38" t="e">
        <f t="shared" ca="1" si="84"/>
        <v>#NUM!</v>
      </c>
      <c r="S296" s="38" t="e">
        <f t="shared" ca="1" si="85"/>
        <v>#NUM!</v>
      </c>
      <c r="T296" s="38" t="e">
        <f t="shared" ca="1" si="86"/>
        <v>#NUM!</v>
      </c>
    </row>
    <row r="297" spans="1:20" ht="20.25" customHeight="1">
      <c r="A297" s="62"/>
      <c r="B297" s="6" t="e">
        <f t="shared" ca="1" si="72"/>
        <v>#NUM!</v>
      </c>
      <c r="C297" s="117" t="e">
        <f t="shared" ca="1" si="73"/>
        <v>#NUM!</v>
      </c>
      <c r="D297" s="131" t="e">
        <f t="shared" ca="1" si="74"/>
        <v>#NUM!</v>
      </c>
      <c r="E297" s="131" t="e">
        <f t="shared" ca="1" si="75"/>
        <v>#NUM!</v>
      </c>
      <c r="F297" s="137" t="e">
        <f t="shared" ca="1" si="76"/>
        <v>#NUM!</v>
      </c>
      <c r="G297" s="132" t="e">
        <f t="shared" ca="1" si="77"/>
        <v>#NUM!</v>
      </c>
      <c r="H297" s="132" t="e">
        <f t="shared" ca="1" si="78"/>
        <v>#NUM!</v>
      </c>
      <c r="I297" s="131" t="e">
        <f t="shared" ca="1" si="79"/>
        <v>#NUM!</v>
      </c>
      <c r="J297" s="66"/>
      <c r="K297" s="11"/>
      <c r="L297" s="11"/>
      <c r="M297" s="6" t="e">
        <f t="shared" ca="1" si="80"/>
        <v>#NUM!</v>
      </c>
      <c r="N297" s="40" t="str">
        <f t="shared" si="71"/>
        <v>279기 보수</v>
      </c>
      <c r="O297" s="38" t="e">
        <f t="shared" ca="1" si="81"/>
        <v>#NUM!</v>
      </c>
      <c r="P297" s="38" t="e">
        <f t="shared" ca="1" si="82"/>
        <v>#NAME?</v>
      </c>
      <c r="Q297" s="38" t="e">
        <f t="shared" ca="1" si="83"/>
        <v>#NUM!</v>
      </c>
      <c r="R297" s="38" t="e">
        <f t="shared" ca="1" si="84"/>
        <v>#NUM!</v>
      </c>
      <c r="S297" s="38" t="e">
        <f t="shared" ca="1" si="85"/>
        <v>#NUM!</v>
      </c>
      <c r="T297" s="38" t="e">
        <f t="shared" ca="1" si="86"/>
        <v>#NUM!</v>
      </c>
    </row>
    <row r="298" spans="1:20" ht="20.25" customHeight="1">
      <c r="A298" s="62"/>
      <c r="B298" s="6" t="e">
        <f t="shared" ca="1" si="72"/>
        <v>#NUM!</v>
      </c>
      <c r="C298" s="117" t="e">
        <f t="shared" ca="1" si="73"/>
        <v>#NUM!</v>
      </c>
      <c r="D298" s="131" t="e">
        <f t="shared" ca="1" si="74"/>
        <v>#NUM!</v>
      </c>
      <c r="E298" s="131" t="e">
        <f t="shared" ca="1" si="75"/>
        <v>#NUM!</v>
      </c>
      <c r="F298" s="137" t="e">
        <f t="shared" ca="1" si="76"/>
        <v>#NUM!</v>
      </c>
      <c r="G298" s="132" t="e">
        <f t="shared" ca="1" si="77"/>
        <v>#NUM!</v>
      </c>
      <c r="H298" s="132" t="e">
        <f t="shared" ca="1" si="78"/>
        <v>#NUM!</v>
      </c>
      <c r="I298" s="131" t="e">
        <f t="shared" ca="1" si="79"/>
        <v>#NUM!</v>
      </c>
      <c r="J298" s="66"/>
      <c r="K298" s="11"/>
      <c r="L298" s="11"/>
      <c r="M298" s="6" t="e">
        <f t="shared" ca="1" si="80"/>
        <v>#NUM!</v>
      </c>
      <c r="N298" s="40" t="str">
        <f t="shared" si="71"/>
        <v>280기 보수</v>
      </c>
      <c r="O298" s="38" t="e">
        <f t="shared" ca="1" si="81"/>
        <v>#NUM!</v>
      </c>
      <c r="P298" s="38" t="e">
        <f t="shared" ca="1" si="82"/>
        <v>#NAME?</v>
      </c>
      <c r="Q298" s="38" t="e">
        <f t="shared" ca="1" si="83"/>
        <v>#NUM!</v>
      </c>
      <c r="R298" s="38" t="e">
        <f t="shared" ca="1" si="84"/>
        <v>#NUM!</v>
      </c>
      <c r="S298" s="38" t="e">
        <f t="shared" ca="1" si="85"/>
        <v>#NUM!</v>
      </c>
      <c r="T298" s="38" t="e">
        <f t="shared" ca="1" si="86"/>
        <v>#NUM!</v>
      </c>
    </row>
    <row r="299" spans="1:20" ht="20.25" customHeight="1">
      <c r="A299" s="62"/>
      <c r="B299" s="6" t="e">
        <f t="shared" ca="1" si="72"/>
        <v>#NUM!</v>
      </c>
      <c r="C299" s="117" t="e">
        <f t="shared" ca="1" si="73"/>
        <v>#NUM!</v>
      </c>
      <c r="D299" s="131" t="e">
        <f t="shared" ca="1" si="74"/>
        <v>#NUM!</v>
      </c>
      <c r="E299" s="131" t="e">
        <f t="shared" ca="1" si="75"/>
        <v>#NUM!</v>
      </c>
      <c r="F299" s="137" t="e">
        <f t="shared" ca="1" si="76"/>
        <v>#NUM!</v>
      </c>
      <c r="G299" s="132" t="e">
        <f t="shared" ca="1" si="77"/>
        <v>#NUM!</v>
      </c>
      <c r="H299" s="132" t="e">
        <f t="shared" ca="1" si="78"/>
        <v>#NUM!</v>
      </c>
      <c r="I299" s="131" t="e">
        <f t="shared" ca="1" si="79"/>
        <v>#NUM!</v>
      </c>
      <c r="J299" s="66"/>
      <c r="K299" s="11"/>
      <c r="L299" s="11"/>
      <c r="M299" s="6" t="e">
        <f t="shared" ca="1" si="80"/>
        <v>#NUM!</v>
      </c>
      <c r="N299" s="40" t="str">
        <f t="shared" si="71"/>
        <v>281기 보수</v>
      </c>
      <c r="O299" s="38" t="e">
        <f t="shared" ca="1" si="81"/>
        <v>#NUM!</v>
      </c>
      <c r="P299" s="38" t="e">
        <f t="shared" ca="1" si="82"/>
        <v>#NAME?</v>
      </c>
      <c r="Q299" s="38" t="e">
        <f t="shared" ca="1" si="83"/>
        <v>#NUM!</v>
      </c>
      <c r="R299" s="38" t="e">
        <f t="shared" ca="1" si="84"/>
        <v>#NUM!</v>
      </c>
      <c r="S299" s="38" t="e">
        <f t="shared" ca="1" si="85"/>
        <v>#NUM!</v>
      </c>
      <c r="T299" s="38" t="e">
        <f t="shared" ca="1" si="86"/>
        <v>#NUM!</v>
      </c>
    </row>
    <row r="300" spans="1:20" ht="20.25" customHeight="1">
      <c r="A300" s="62"/>
      <c r="B300" s="6" t="e">
        <f t="shared" ca="1" si="72"/>
        <v>#NUM!</v>
      </c>
      <c r="C300" s="117" t="e">
        <f t="shared" ca="1" si="73"/>
        <v>#NUM!</v>
      </c>
      <c r="D300" s="131" t="e">
        <f t="shared" ca="1" si="74"/>
        <v>#NUM!</v>
      </c>
      <c r="E300" s="131" t="e">
        <f t="shared" ca="1" si="75"/>
        <v>#NUM!</v>
      </c>
      <c r="F300" s="137" t="e">
        <f t="shared" ca="1" si="76"/>
        <v>#NUM!</v>
      </c>
      <c r="G300" s="132" t="e">
        <f t="shared" ca="1" si="77"/>
        <v>#NUM!</v>
      </c>
      <c r="H300" s="132" t="e">
        <f t="shared" ca="1" si="78"/>
        <v>#NUM!</v>
      </c>
      <c r="I300" s="131" t="e">
        <f t="shared" ca="1" si="79"/>
        <v>#NUM!</v>
      </c>
      <c r="J300" s="66"/>
      <c r="K300" s="11"/>
      <c r="L300" s="11"/>
      <c r="M300" s="6" t="e">
        <f t="shared" ca="1" si="80"/>
        <v>#NUM!</v>
      </c>
      <c r="N300" s="40" t="str">
        <f t="shared" si="71"/>
        <v>282기 보수</v>
      </c>
      <c r="O300" s="38" t="e">
        <f t="shared" ca="1" si="81"/>
        <v>#NUM!</v>
      </c>
      <c r="P300" s="38" t="e">
        <f t="shared" ca="1" si="82"/>
        <v>#NAME?</v>
      </c>
      <c r="Q300" s="38" t="e">
        <f t="shared" ca="1" si="83"/>
        <v>#NUM!</v>
      </c>
      <c r="R300" s="38" t="e">
        <f t="shared" ca="1" si="84"/>
        <v>#NUM!</v>
      </c>
      <c r="S300" s="38" t="e">
        <f t="shared" ca="1" si="85"/>
        <v>#NUM!</v>
      </c>
      <c r="T300" s="38" t="e">
        <f t="shared" ca="1" si="86"/>
        <v>#NUM!</v>
      </c>
    </row>
    <row r="301" spans="1:20" ht="20.25" customHeight="1">
      <c r="A301" s="62"/>
      <c r="B301" s="6" t="e">
        <f t="shared" ca="1" si="72"/>
        <v>#NUM!</v>
      </c>
      <c r="C301" s="117" t="e">
        <f t="shared" ca="1" si="73"/>
        <v>#NUM!</v>
      </c>
      <c r="D301" s="131" t="e">
        <f t="shared" ca="1" si="74"/>
        <v>#NUM!</v>
      </c>
      <c r="E301" s="131" t="e">
        <f t="shared" ca="1" si="75"/>
        <v>#NUM!</v>
      </c>
      <c r="F301" s="137" t="e">
        <f t="shared" ca="1" si="76"/>
        <v>#NUM!</v>
      </c>
      <c r="G301" s="132" t="e">
        <f t="shared" ca="1" si="77"/>
        <v>#NUM!</v>
      </c>
      <c r="H301" s="132" t="e">
        <f t="shared" ca="1" si="78"/>
        <v>#NUM!</v>
      </c>
      <c r="I301" s="131" t="e">
        <f t="shared" ca="1" si="79"/>
        <v>#NUM!</v>
      </c>
      <c r="J301" s="66"/>
      <c r="K301" s="11"/>
      <c r="L301" s="11"/>
      <c r="M301" s="6" t="e">
        <f t="shared" ca="1" si="80"/>
        <v>#NUM!</v>
      </c>
      <c r="N301" s="40" t="str">
        <f t="shared" si="71"/>
        <v>283기 보수</v>
      </c>
      <c r="O301" s="38" t="e">
        <f t="shared" ca="1" si="81"/>
        <v>#NUM!</v>
      </c>
      <c r="P301" s="38" t="e">
        <f t="shared" ca="1" si="82"/>
        <v>#NAME?</v>
      </c>
      <c r="Q301" s="38" t="e">
        <f t="shared" ca="1" si="83"/>
        <v>#NUM!</v>
      </c>
      <c r="R301" s="38" t="e">
        <f t="shared" ca="1" si="84"/>
        <v>#NUM!</v>
      </c>
      <c r="S301" s="38" t="e">
        <f t="shared" ca="1" si="85"/>
        <v>#NUM!</v>
      </c>
      <c r="T301" s="38" t="e">
        <f t="shared" ca="1" si="86"/>
        <v>#NUM!</v>
      </c>
    </row>
    <row r="302" spans="1:20" ht="20.25" customHeight="1">
      <c r="A302" s="62"/>
      <c r="B302" s="6" t="e">
        <f t="shared" ca="1" si="72"/>
        <v>#NUM!</v>
      </c>
      <c r="C302" s="117" t="e">
        <f t="shared" ca="1" si="73"/>
        <v>#NUM!</v>
      </c>
      <c r="D302" s="131" t="e">
        <f t="shared" ca="1" si="74"/>
        <v>#NUM!</v>
      </c>
      <c r="E302" s="131" t="e">
        <f t="shared" ca="1" si="75"/>
        <v>#NUM!</v>
      </c>
      <c r="F302" s="137" t="e">
        <f t="shared" ca="1" si="76"/>
        <v>#NUM!</v>
      </c>
      <c r="G302" s="132" t="e">
        <f t="shared" ca="1" si="77"/>
        <v>#NUM!</v>
      </c>
      <c r="H302" s="132" t="e">
        <f t="shared" ca="1" si="78"/>
        <v>#NUM!</v>
      </c>
      <c r="I302" s="131" t="e">
        <f t="shared" ca="1" si="79"/>
        <v>#NUM!</v>
      </c>
      <c r="J302" s="66"/>
      <c r="K302" s="11"/>
      <c r="L302" s="11"/>
      <c r="M302" s="6" t="e">
        <f t="shared" ca="1" si="80"/>
        <v>#NUM!</v>
      </c>
      <c r="N302" s="40" t="str">
        <f t="shared" si="71"/>
        <v>284기 보수</v>
      </c>
      <c r="O302" s="38" t="e">
        <f t="shared" ca="1" si="81"/>
        <v>#NUM!</v>
      </c>
      <c r="P302" s="38" t="e">
        <f t="shared" ca="1" si="82"/>
        <v>#NAME?</v>
      </c>
      <c r="Q302" s="38" t="e">
        <f t="shared" ca="1" si="83"/>
        <v>#NUM!</v>
      </c>
      <c r="R302" s="38" t="e">
        <f t="shared" ca="1" si="84"/>
        <v>#NUM!</v>
      </c>
      <c r="S302" s="38" t="e">
        <f t="shared" ca="1" si="85"/>
        <v>#NUM!</v>
      </c>
      <c r="T302" s="38" t="e">
        <f t="shared" ca="1" si="86"/>
        <v>#NUM!</v>
      </c>
    </row>
    <row r="303" spans="1:20" ht="20.25" customHeight="1">
      <c r="A303" s="62"/>
      <c r="B303" s="6" t="e">
        <f t="shared" ca="1" si="72"/>
        <v>#NUM!</v>
      </c>
      <c r="C303" s="117" t="e">
        <f t="shared" ca="1" si="73"/>
        <v>#NUM!</v>
      </c>
      <c r="D303" s="131" t="e">
        <f t="shared" ca="1" si="74"/>
        <v>#NUM!</v>
      </c>
      <c r="E303" s="131" t="e">
        <f t="shared" ca="1" si="75"/>
        <v>#NUM!</v>
      </c>
      <c r="F303" s="137" t="e">
        <f t="shared" ca="1" si="76"/>
        <v>#NUM!</v>
      </c>
      <c r="G303" s="132" t="e">
        <f t="shared" ca="1" si="77"/>
        <v>#NUM!</v>
      </c>
      <c r="H303" s="132" t="e">
        <f t="shared" ca="1" si="78"/>
        <v>#NUM!</v>
      </c>
      <c r="I303" s="131" t="e">
        <f t="shared" ca="1" si="79"/>
        <v>#NUM!</v>
      </c>
      <c r="J303" s="66"/>
      <c r="K303" s="11"/>
      <c r="L303" s="11"/>
      <c r="M303" s="6" t="e">
        <f t="shared" ca="1" si="80"/>
        <v>#NUM!</v>
      </c>
      <c r="N303" s="40" t="str">
        <f t="shared" si="71"/>
        <v>285기 보수</v>
      </c>
      <c r="O303" s="38" t="e">
        <f t="shared" ca="1" si="81"/>
        <v>#NUM!</v>
      </c>
      <c r="P303" s="38" t="e">
        <f t="shared" ca="1" si="82"/>
        <v>#NAME?</v>
      </c>
      <c r="Q303" s="38" t="e">
        <f t="shared" ca="1" si="83"/>
        <v>#NUM!</v>
      </c>
      <c r="R303" s="38" t="e">
        <f t="shared" ca="1" si="84"/>
        <v>#NUM!</v>
      </c>
      <c r="S303" s="38" t="e">
        <f t="shared" ca="1" si="85"/>
        <v>#NUM!</v>
      </c>
      <c r="T303" s="38" t="e">
        <f t="shared" ca="1" si="86"/>
        <v>#NUM!</v>
      </c>
    </row>
    <row r="304" spans="1:20" ht="20.25" customHeight="1">
      <c r="A304" s="62"/>
      <c r="B304" s="6" t="e">
        <f t="shared" ca="1" si="72"/>
        <v>#NUM!</v>
      </c>
      <c r="C304" s="117" t="e">
        <f t="shared" ca="1" si="73"/>
        <v>#NUM!</v>
      </c>
      <c r="D304" s="131" t="e">
        <f t="shared" ca="1" si="74"/>
        <v>#NUM!</v>
      </c>
      <c r="E304" s="131" t="e">
        <f t="shared" ca="1" si="75"/>
        <v>#NUM!</v>
      </c>
      <c r="F304" s="137" t="e">
        <f t="shared" ca="1" si="76"/>
        <v>#NUM!</v>
      </c>
      <c r="G304" s="132" t="e">
        <f t="shared" ca="1" si="77"/>
        <v>#NUM!</v>
      </c>
      <c r="H304" s="132" t="e">
        <f t="shared" ca="1" si="78"/>
        <v>#NUM!</v>
      </c>
      <c r="I304" s="131" t="e">
        <f t="shared" ca="1" si="79"/>
        <v>#NUM!</v>
      </c>
      <c r="J304" s="66"/>
      <c r="K304" s="11"/>
      <c r="L304" s="11"/>
      <c r="M304" s="6" t="e">
        <f t="shared" ca="1" si="80"/>
        <v>#NUM!</v>
      </c>
      <c r="N304" s="40" t="str">
        <f t="shared" si="71"/>
        <v>286기 보수</v>
      </c>
      <c r="O304" s="38" t="e">
        <f t="shared" ca="1" si="81"/>
        <v>#NUM!</v>
      </c>
      <c r="P304" s="38" t="e">
        <f t="shared" ca="1" si="82"/>
        <v>#NAME?</v>
      </c>
      <c r="Q304" s="38" t="e">
        <f t="shared" ca="1" si="83"/>
        <v>#NUM!</v>
      </c>
      <c r="R304" s="38" t="e">
        <f t="shared" ca="1" si="84"/>
        <v>#NUM!</v>
      </c>
      <c r="S304" s="38" t="e">
        <f t="shared" ca="1" si="85"/>
        <v>#NUM!</v>
      </c>
      <c r="T304" s="38" t="e">
        <f t="shared" ca="1" si="86"/>
        <v>#NUM!</v>
      </c>
    </row>
    <row r="305" spans="1:20" ht="20.25" customHeight="1">
      <c r="A305" s="62"/>
      <c r="B305" s="6" t="e">
        <f t="shared" ca="1" si="72"/>
        <v>#NUM!</v>
      </c>
      <c r="C305" s="117" t="e">
        <f t="shared" ca="1" si="73"/>
        <v>#NUM!</v>
      </c>
      <c r="D305" s="131" t="e">
        <f t="shared" ca="1" si="74"/>
        <v>#NUM!</v>
      </c>
      <c r="E305" s="131" t="e">
        <f t="shared" ca="1" si="75"/>
        <v>#NUM!</v>
      </c>
      <c r="F305" s="137" t="e">
        <f t="shared" ca="1" si="76"/>
        <v>#NUM!</v>
      </c>
      <c r="G305" s="132" t="e">
        <f t="shared" ca="1" si="77"/>
        <v>#NUM!</v>
      </c>
      <c r="H305" s="132" t="e">
        <f t="shared" ca="1" si="78"/>
        <v>#NUM!</v>
      </c>
      <c r="I305" s="131" t="e">
        <f t="shared" ca="1" si="79"/>
        <v>#NUM!</v>
      </c>
      <c r="J305" s="66"/>
      <c r="K305" s="11"/>
      <c r="L305" s="11"/>
      <c r="M305" s="6" t="e">
        <f t="shared" ca="1" si="80"/>
        <v>#NUM!</v>
      </c>
      <c r="N305" s="40" t="str">
        <f t="shared" si="71"/>
        <v>287기 보수</v>
      </c>
      <c r="O305" s="38" t="e">
        <f t="shared" ca="1" si="81"/>
        <v>#NUM!</v>
      </c>
      <c r="P305" s="38" t="e">
        <f t="shared" ca="1" si="82"/>
        <v>#NAME?</v>
      </c>
      <c r="Q305" s="38" t="e">
        <f t="shared" ca="1" si="83"/>
        <v>#NUM!</v>
      </c>
      <c r="R305" s="38" t="e">
        <f t="shared" ca="1" si="84"/>
        <v>#NUM!</v>
      </c>
      <c r="S305" s="38" t="e">
        <f t="shared" ca="1" si="85"/>
        <v>#NUM!</v>
      </c>
      <c r="T305" s="38" t="e">
        <f t="shared" ca="1" si="86"/>
        <v>#NUM!</v>
      </c>
    </row>
    <row r="306" spans="1:20" ht="20.25" customHeight="1">
      <c r="A306" s="62"/>
      <c r="B306" s="6" t="e">
        <f t="shared" ca="1" si="72"/>
        <v>#NUM!</v>
      </c>
      <c r="C306" s="117" t="e">
        <f t="shared" ca="1" si="73"/>
        <v>#NUM!</v>
      </c>
      <c r="D306" s="131" t="e">
        <f t="shared" ca="1" si="74"/>
        <v>#NUM!</v>
      </c>
      <c r="E306" s="131" t="e">
        <f t="shared" ca="1" si="75"/>
        <v>#NUM!</v>
      </c>
      <c r="F306" s="137" t="e">
        <f t="shared" ca="1" si="76"/>
        <v>#NUM!</v>
      </c>
      <c r="G306" s="132" t="e">
        <f t="shared" ca="1" si="77"/>
        <v>#NUM!</v>
      </c>
      <c r="H306" s="132" t="e">
        <f t="shared" ca="1" si="78"/>
        <v>#NUM!</v>
      </c>
      <c r="I306" s="131" t="e">
        <f t="shared" ca="1" si="79"/>
        <v>#NUM!</v>
      </c>
      <c r="J306" s="66"/>
      <c r="K306" s="11"/>
      <c r="L306" s="11"/>
      <c r="M306" s="6" t="e">
        <f t="shared" ca="1" si="80"/>
        <v>#NUM!</v>
      </c>
      <c r="N306" s="40" t="str">
        <f t="shared" si="71"/>
        <v>288기 보수</v>
      </c>
      <c r="O306" s="38" t="e">
        <f t="shared" ca="1" si="81"/>
        <v>#NUM!</v>
      </c>
      <c r="P306" s="38" t="e">
        <f t="shared" ca="1" si="82"/>
        <v>#NAME?</v>
      </c>
      <c r="Q306" s="38" t="e">
        <f t="shared" ca="1" si="83"/>
        <v>#NUM!</v>
      </c>
      <c r="R306" s="38" t="e">
        <f t="shared" ca="1" si="84"/>
        <v>#NUM!</v>
      </c>
      <c r="S306" s="38" t="e">
        <f t="shared" ca="1" si="85"/>
        <v>#NUM!</v>
      </c>
      <c r="T306" s="38" t="e">
        <f t="shared" ca="1" si="86"/>
        <v>#NUM!</v>
      </c>
    </row>
    <row r="307" spans="1:20" ht="20.25" customHeight="1">
      <c r="A307" s="62"/>
      <c r="B307" s="6" t="e">
        <f t="shared" ca="1" si="72"/>
        <v>#NUM!</v>
      </c>
      <c r="C307" s="117" t="e">
        <f t="shared" ca="1" si="73"/>
        <v>#NUM!</v>
      </c>
      <c r="D307" s="131" t="e">
        <f t="shared" ca="1" si="74"/>
        <v>#NUM!</v>
      </c>
      <c r="E307" s="131" t="e">
        <f t="shared" ca="1" si="75"/>
        <v>#NUM!</v>
      </c>
      <c r="F307" s="137" t="e">
        <f t="shared" ca="1" si="76"/>
        <v>#NUM!</v>
      </c>
      <c r="G307" s="132" t="e">
        <f t="shared" ca="1" si="77"/>
        <v>#NUM!</v>
      </c>
      <c r="H307" s="132" t="e">
        <f t="shared" ca="1" si="78"/>
        <v>#NUM!</v>
      </c>
      <c r="I307" s="131" t="e">
        <f t="shared" ca="1" si="79"/>
        <v>#NUM!</v>
      </c>
      <c r="J307" s="66"/>
      <c r="K307" s="11"/>
      <c r="L307" s="11"/>
      <c r="M307" s="6" t="e">
        <f t="shared" ca="1" si="80"/>
        <v>#NUM!</v>
      </c>
      <c r="N307" s="40" t="str">
        <f t="shared" si="71"/>
        <v>289기 보수</v>
      </c>
      <c r="O307" s="38" t="e">
        <f t="shared" ca="1" si="81"/>
        <v>#NUM!</v>
      </c>
      <c r="P307" s="38" t="e">
        <f t="shared" ca="1" si="82"/>
        <v>#NAME?</v>
      </c>
      <c r="Q307" s="38" t="e">
        <f t="shared" ca="1" si="83"/>
        <v>#NUM!</v>
      </c>
      <c r="R307" s="38" t="e">
        <f t="shared" ca="1" si="84"/>
        <v>#NUM!</v>
      </c>
      <c r="S307" s="38" t="e">
        <f t="shared" ca="1" si="85"/>
        <v>#NUM!</v>
      </c>
      <c r="T307" s="38" t="e">
        <f t="shared" ca="1" si="86"/>
        <v>#NUM!</v>
      </c>
    </row>
    <row r="308" spans="1:20" ht="20.25" customHeight="1">
      <c r="A308" s="62"/>
      <c r="B308" s="6" t="e">
        <f t="shared" ca="1" si="72"/>
        <v>#NUM!</v>
      </c>
      <c r="C308" s="117" t="e">
        <f t="shared" ca="1" si="73"/>
        <v>#NUM!</v>
      </c>
      <c r="D308" s="131" t="e">
        <f t="shared" ca="1" si="74"/>
        <v>#NUM!</v>
      </c>
      <c r="E308" s="131" t="e">
        <f t="shared" ca="1" si="75"/>
        <v>#NUM!</v>
      </c>
      <c r="F308" s="137" t="e">
        <f t="shared" ca="1" si="76"/>
        <v>#NUM!</v>
      </c>
      <c r="G308" s="132" t="e">
        <f t="shared" ca="1" si="77"/>
        <v>#NUM!</v>
      </c>
      <c r="H308" s="132" t="e">
        <f t="shared" ca="1" si="78"/>
        <v>#NUM!</v>
      </c>
      <c r="I308" s="131" t="e">
        <f t="shared" ca="1" si="79"/>
        <v>#NUM!</v>
      </c>
      <c r="J308" s="66"/>
      <c r="K308" s="11"/>
      <c r="L308" s="11"/>
      <c r="M308" s="6" t="e">
        <f t="shared" ca="1" si="80"/>
        <v>#NUM!</v>
      </c>
      <c r="N308" s="40" t="str">
        <f t="shared" si="71"/>
        <v>290기 보수</v>
      </c>
      <c r="O308" s="38" t="e">
        <f t="shared" ca="1" si="81"/>
        <v>#NUM!</v>
      </c>
      <c r="P308" s="38" t="e">
        <f t="shared" ca="1" si="82"/>
        <v>#NAME?</v>
      </c>
      <c r="Q308" s="38" t="e">
        <f t="shared" ca="1" si="83"/>
        <v>#NUM!</v>
      </c>
      <c r="R308" s="38" t="e">
        <f t="shared" ca="1" si="84"/>
        <v>#NUM!</v>
      </c>
      <c r="S308" s="38" t="e">
        <f t="shared" ca="1" si="85"/>
        <v>#NUM!</v>
      </c>
      <c r="T308" s="38" t="e">
        <f t="shared" ca="1" si="86"/>
        <v>#NUM!</v>
      </c>
    </row>
    <row r="309" spans="1:20" ht="20.25" customHeight="1">
      <c r="A309" s="62"/>
      <c r="B309" s="6" t="e">
        <f t="shared" ca="1" si="72"/>
        <v>#NUM!</v>
      </c>
      <c r="C309" s="117" t="e">
        <f t="shared" ca="1" si="73"/>
        <v>#NUM!</v>
      </c>
      <c r="D309" s="131" t="e">
        <f t="shared" ca="1" si="74"/>
        <v>#NUM!</v>
      </c>
      <c r="E309" s="131" t="e">
        <f t="shared" ca="1" si="75"/>
        <v>#NUM!</v>
      </c>
      <c r="F309" s="137" t="e">
        <f t="shared" ca="1" si="76"/>
        <v>#NUM!</v>
      </c>
      <c r="G309" s="132" t="e">
        <f t="shared" ca="1" si="77"/>
        <v>#NUM!</v>
      </c>
      <c r="H309" s="132" t="e">
        <f t="shared" ca="1" si="78"/>
        <v>#NUM!</v>
      </c>
      <c r="I309" s="131" t="e">
        <f t="shared" ca="1" si="79"/>
        <v>#NUM!</v>
      </c>
      <c r="J309" s="66"/>
      <c r="K309" s="11"/>
      <c r="L309" s="11"/>
      <c r="M309" s="6" t="e">
        <f t="shared" ca="1" si="80"/>
        <v>#NUM!</v>
      </c>
      <c r="N309" s="40" t="str">
        <f t="shared" si="71"/>
        <v>291기 보수</v>
      </c>
      <c r="O309" s="38" t="e">
        <f t="shared" ca="1" si="81"/>
        <v>#NUM!</v>
      </c>
      <c r="P309" s="38" t="e">
        <f t="shared" ca="1" si="82"/>
        <v>#NAME?</v>
      </c>
      <c r="Q309" s="38" t="e">
        <f t="shared" ca="1" si="83"/>
        <v>#NUM!</v>
      </c>
      <c r="R309" s="38" t="e">
        <f t="shared" ca="1" si="84"/>
        <v>#NUM!</v>
      </c>
      <c r="S309" s="38" t="e">
        <f t="shared" ca="1" si="85"/>
        <v>#NUM!</v>
      </c>
      <c r="T309" s="38" t="e">
        <f t="shared" ca="1" si="86"/>
        <v>#NUM!</v>
      </c>
    </row>
    <row r="310" spans="1:20" ht="20.25" customHeight="1">
      <c r="A310" s="62"/>
      <c r="B310" s="6" t="e">
        <f t="shared" ca="1" si="72"/>
        <v>#NUM!</v>
      </c>
      <c r="C310" s="117" t="e">
        <f t="shared" ca="1" si="73"/>
        <v>#NUM!</v>
      </c>
      <c r="D310" s="131" t="e">
        <f t="shared" ca="1" si="74"/>
        <v>#NUM!</v>
      </c>
      <c r="E310" s="131" t="e">
        <f t="shared" ca="1" si="75"/>
        <v>#NUM!</v>
      </c>
      <c r="F310" s="137" t="e">
        <f t="shared" ca="1" si="76"/>
        <v>#NUM!</v>
      </c>
      <c r="G310" s="132" t="e">
        <f t="shared" ca="1" si="77"/>
        <v>#NUM!</v>
      </c>
      <c r="H310" s="132" t="e">
        <f t="shared" ca="1" si="78"/>
        <v>#NUM!</v>
      </c>
      <c r="I310" s="131" t="e">
        <f t="shared" ca="1" si="79"/>
        <v>#NUM!</v>
      </c>
      <c r="J310" s="66"/>
      <c r="K310" s="11"/>
      <c r="L310" s="11"/>
      <c r="M310" s="6" t="e">
        <f t="shared" ca="1" si="80"/>
        <v>#NUM!</v>
      </c>
      <c r="N310" s="40" t="str">
        <f t="shared" si="71"/>
        <v>292기 보수</v>
      </c>
      <c r="O310" s="38" t="e">
        <f t="shared" ca="1" si="81"/>
        <v>#NUM!</v>
      </c>
      <c r="P310" s="38" t="e">
        <f t="shared" ca="1" si="82"/>
        <v>#NAME?</v>
      </c>
      <c r="Q310" s="38" t="e">
        <f t="shared" ca="1" si="83"/>
        <v>#NUM!</v>
      </c>
      <c r="R310" s="38" t="e">
        <f t="shared" ca="1" si="84"/>
        <v>#NUM!</v>
      </c>
      <c r="S310" s="38" t="e">
        <f t="shared" ca="1" si="85"/>
        <v>#NUM!</v>
      </c>
      <c r="T310" s="38" t="e">
        <f t="shared" ca="1" si="86"/>
        <v>#NUM!</v>
      </c>
    </row>
    <row r="311" spans="1:20" ht="20.25" customHeight="1">
      <c r="A311" s="62"/>
      <c r="B311" s="6" t="e">
        <f t="shared" ca="1" si="72"/>
        <v>#NUM!</v>
      </c>
      <c r="C311" s="117" t="e">
        <f t="shared" ca="1" si="73"/>
        <v>#NUM!</v>
      </c>
      <c r="D311" s="131" t="e">
        <f t="shared" ca="1" si="74"/>
        <v>#NUM!</v>
      </c>
      <c r="E311" s="131" t="e">
        <f t="shared" ca="1" si="75"/>
        <v>#NUM!</v>
      </c>
      <c r="F311" s="137" t="e">
        <f t="shared" ca="1" si="76"/>
        <v>#NUM!</v>
      </c>
      <c r="G311" s="132" t="e">
        <f t="shared" ca="1" si="77"/>
        <v>#NUM!</v>
      </c>
      <c r="H311" s="132" t="e">
        <f t="shared" ca="1" si="78"/>
        <v>#NUM!</v>
      </c>
      <c r="I311" s="131" t="e">
        <f t="shared" ca="1" si="79"/>
        <v>#NUM!</v>
      </c>
      <c r="J311" s="66"/>
      <c r="K311" s="11"/>
      <c r="L311" s="11"/>
      <c r="M311" s="6" t="e">
        <f t="shared" ca="1" si="80"/>
        <v>#NUM!</v>
      </c>
      <c r="N311" s="40" t="str">
        <f t="shared" si="71"/>
        <v>293기 보수</v>
      </c>
      <c r="O311" s="38" t="e">
        <f t="shared" ca="1" si="81"/>
        <v>#NUM!</v>
      </c>
      <c r="P311" s="38" t="e">
        <f t="shared" ca="1" si="82"/>
        <v>#NAME?</v>
      </c>
      <c r="Q311" s="38" t="e">
        <f t="shared" ca="1" si="83"/>
        <v>#NUM!</v>
      </c>
      <c r="R311" s="38" t="e">
        <f t="shared" ca="1" si="84"/>
        <v>#NUM!</v>
      </c>
      <c r="S311" s="38" t="e">
        <f t="shared" ca="1" si="85"/>
        <v>#NUM!</v>
      </c>
      <c r="T311" s="38" t="e">
        <f t="shared" ca="1" si="86"/>
        <v>#NUM!</v>
      </c>
    </row>
    <row r="312" spans="1:20" ht="20.25" customHeight="1">
      <c r="A312" s="62"/>
      <c r="B312" s="6" t="e">
        <f t="shared" ca="1" si="72"/>
        <v>#NUM!</v>
      </c>
      <c r="C312" s="117" t="e">
        <f t="shared" ca="1" si="73"/>
        <v>#NUM!</v>
      </c>
      <c r="D312" s="131" t="e">
        <f t="shared" ca="1" si="74"/>
        <v>#NUM!</v>
      </c>
      <c r="E312" s="131" t="e">
        <f t="shared" ca="1" si="75"/>
        <v>#NUM!</v>
      </c>
      <c r="F312" s="137" t="e">
        <f t="shared" ca="1" si="76"/>
        <v>#NUM!</v>
      </c>
      <c r="G312" s="132" t="e">
        <f t="shared" ca="1" si="77"/>
        <v>#NUM!</v>
      </c>
      <c r="H312" s="132" t="e">
        <f t="shared" ca="1" si="78"/>
        <v>#NUM!</v>
      </c>
      <c r="I312" s="131" t="e">
        <f t="shared" ca="1" si="79"/>
        <v>#NUM!</v>
      </c>
      <c r="J312" s="66"/>
      <c r="K312" s="11"/>
      <c r="L312" s="11"/>
      <c r="M312" s="6" t="e">
        <f t="shared" ca="1" si="80"/>
        <v>#NUM!</v>
      </c>
      <c r="N312" s="40" t="str">
        <f t="shared" si="71"/>
        <v>294기 보수</v>
      </c>
      <c r="O312" s="38" t="e">
        <f t="shared" ca="1" si="81"/>
        <v>#NUM!</v>
      </c>
      <c r="P312" s="38" t="e">
        <f t="shared" ca="1" si="82"/>
        <v>#NAME?</v>
      </c>
      <c r="Q312" s="38" t="e">
        <f t="shared" ca="1" si="83"/>
        <v>#NUM!</v>
      </c>
      <c r="R312" s="38" t="e">
        <f t="shared" ca="1" si="84"/>
        <v>#NUM!</v>
      </c>
      <c r="S312" s="38" t="e">
        <f t="shared" ca="1" si="85"/>
        <v>#NUM!</v>
      </c>
      <c r="T312" s="38" t="e">
        <f t="shared" ca="1" si="86"/>
        <v>#NUM!</v>
      </c>
    </row>
    <row r="313" spans="1:20" ht="20.25" customHeight="1">
      <c r="A313" s="62"/>
      <c r="B313" s="6" t="e">
        <f t="shared" ca="1" si="72"/>
        <v>#NUM!</v>
      </c>
      <c r="C313" s="117" t="e">
        <f t="shared" ca="1" si="73"/>
        <v>#NUM!</v>
      </c>
      <c r="D313" s="131" t="e">
        <f t="shared" ca="1" si="74"/>
        <v>#NUM!</v>
      </c>
      <c r="E313" s="131" t="e">
        <f t="shared" ca="1" si="75"/>
        <v>#NUM!</v>
      </c>
      <c r="F313" s="137" t="e">
        <f t="shared" ca="1" si="76"/>
        <v>#NUM!</v>
      </c>
      <c r="G313" s="132" t="e">
        <f t="shared" ca="1" si="77"/>
        <v>#NUM!</v>
      </c>
      <c r="H313" s="132" t="e">
        <f t="shared" ca="1" si="78"/>
        <v>#NUM!</v>
      </c>
      <c r="I313" s="131" t="e">
        <f t="shared" ca="1" si="79"/>
        <v>#NUM!</v>
      </c>
      <c r="J313" s="66"/>
      <c r="K313" s="11"/>
      <c r="L313" s="11"/>
      <c r="M313" s="6" t="e">
        <f t="shared" ca="1" si="80"/>
        <v>#NUM!</v>
      </c>
      <c r="N313" s="40" t="str">
        <f t="shared" si="71"/>
        <v>295기 보수</v>
      </c>
      <c r="O313" s="38" t="e">
        <f t="shared" ca="1" si="81"/>
        <v>#NUM!</v>
      </c>
      <c r="P313" s="38" t="e">
        <f t="shared" ca="1" si="82"/>
        <v>#NAME?</v>
      </c>
      <c r="Q313" s="38" t="e">
        <f t="shared" ca="1" si="83"/>
        <v>#NUM!</v>
      </c>
      <c r="R313" s="38" t="e">
        <f t="shared" ca="1" si="84"/>
        <v>#NUM!</v>
      </c>
      <c r="S313" s="38" t="e">
        <f t="shared" ca="1" si="85"/>
        <v>#NUM!</v>
      </c>
      <c r="T313" s="38" t="e">
        <f t="shared" ca="1" si="86"/>
        <v>#NUM!</v>
      </c>
    </row>
    <row r="314" spans="1:20" ht="20.25" customHeight="1">
      <c r="A314" s="62"/>
      <c r="B314" s="6" t="e">
        <f t="shared" ca="1" si="72"/>
        <v>#NUM!</v>
      </c>
      <c r="C314" s="117" t="e">
        <f t="shared" ca="1" si="73"/>
        <v>#NUM!</v>
      </c>
      <c r="D314" s="131" t="e">
        <f t="shared" ca="1" si="74"/>
        <v>#NUM!</v>
      </c>
      <c r="E314" s="131" t="e">
        <f t="shared" ca="1" si="75"/>
        <v>#NUM!</v>
      </c>
      <c r="F314" s="137" t="e">
        <f t="shared" ca="1" si="76"/>
        <v>#NUM!</v>
      </c>
      <c r="G314" s="132" t="e">
        <f t="shared" ca="1" si="77"/>
        <v>#NUM!</v>
      </c>
      <c r="H314" s="132" t="e">
        <f t="shared" ca="1" si="78"/>
        <v>#NUM!</v>
      </c>
      <c r="I314" s="131" t="e">
        <f t="shared" ca="1" si="79"/>
        <v>#NUM!</v>
      </c>
      <c r="J314" s="66"/>
      <c r="K314" s="11"/>
      <c r="L314" s="11"/>
      <c r="M314" s="6" t="e">
        <f t="shared" ca="1" si="80"/>
        <v>#NUM!</v>
      </c>
      <c r="N314" s="40" t="str">
        <f t="shared" si="71"/>
        <v>296기 보수</v>
      </c>
      <c r="O314" s="38" t="e">
        <f t="shared" ca="1" si="81"/>
        <v>#NUM!</v>
      </c>
      <c r="P314" s="38" t="e">
        <f t="shared" ca="1" si="82"/>
        <v>#NAME?</v>
      </c>
      <c r="Q314" s="38" t="e">
        <f t="shared" ca="1" si="83"/>
        <v>#NUM!</v>
      </c>
      <c r="R314" s="38" t="e">
        <f t="shared" ca="1" si="84"/>
        <v>#NUM!</v>
      </c>
      <c r="S314" s="38" t="e">
        <f t="shared" ca="1" si="85"/>
        <v>#NUM!</v>
      </c>
      <c r="T314" s="38" t="e">
        <f t="shared" ca="1" si="86"/>
        <v>#NUM!</v>
      </c>
    </row>
    <row r="315" spans="1:20" ht="20.25" customHeight="1">
      <c r="A315" s="62"/>
      <c r="B315" s="6" t="e">
        <f t="shared" ca="1" si="72"/>
        <v>#NUM!</v>
      </c>
      <c r="C315" s="117" t="e">
        <f t="shared" ca="1" si="73"/>
        <v>#NUM!</v>
      </c>
      <c r="D315" s="131" t="e">
        <f t="shared" ca="1" si="74"/>
        <v>#NUM!</v>
      </c>
      <c r="E315" s="131" t="e">
        <f t="shared" ca="1" si="75"/>
        <v>#NUM!</v>
      </c>
      <c r="F315" s="137" t="e">
        <f t="shared" ca="1" si="76"/>
        <v>#NUM!</v>
      </c>
      <c r="G315" s="132" t="e">
        <f t="shared" ca="1" si="77"/>
        <v>#NUM!</v>
      </c>
      <c r="H315" s="132" t="e">
        <f t="shared" ca="1" si="78"/>
        <v>#NUM!</v>
      </c>
      <c r="I315" s="131" t="e">
        <f t="shared" ca="1" si="79"/>
        <v>#NUM!</v>
      </c>
      <c r="J315" s="66"/>
      <c r="K315" s="11"/>
      <c r="L315" s="11"/>
      <c r="M315" s="6" t="e">
        <f t="shared" ca="1" si="80"/>
        <v>#NUM!</v>
      </c>
      <c r="N315" s="40" t="str">
        <f t="shared" si="71"/>
        <v>297기 보수</v>
      </c>
      <c r="O315" s="38" t="e">
        <f t="shared" ca="1" si="81"/>
        <v>#NUM!</v>
      </c>
      <c r="P315" s="38" t="e">
        <f t="shared" ca="1" si="82"/>
        <v>#NAME?</v>
      </c>
      <c r="Q315" s="38" t="e">
        <f t="shared" ca="1" si="83"/>
        <v>#NUM!</v>
      </c>
      <c r="R315" s="38" t="e">
        <f t="shared" ca="1" si="84"/>
        <v>#NUM!</v>
      </c>
      <c r="S315" s="38" t="e">
        <f t="shared" ca="1" si="85"/>
        <v>#NUM!</v>
      </c>
      <c r="T315" s="38" t="e">
        <f t="shared" ca="1" si="86"/>
        <v>#NUM!</v>
      </c>
    </row>
    <row r="316" spans="1:20" ht="20.25" customHeight="1">
      <c r="A316" s="62"/>
      <c r="B316" s="6" t="e">
        <f t="shared" ca="1" si="72"/>
        <v>#NUM!</v>
      </c>
      <c r="C316" s="117" t="e">
        <f t="shared" ca="1" si="73"/>
        <v>#NUM!</v>
      </c>
      <c r="D316" s="131" t="e">
        <f t="shared" ca="1" si="74"/>
        <v>#NUM!</v>
      </c>
      <c r="E316" s="131" t="e">
        <f t="shared" ca="1" si="75"/>
        <v>#NUM!</v>
      </c>
      <c r="F316" s="137" t="e">
        <f t="shared" ca="1" si="76"/>
        <v>#NUM!</v>
      </c>
      <c r="G316" s="132" t="e">
        <f t="shared" ca="1" si="77"/>
        <v>#NUM!</v>
      </c>
      <c r="H316" s="132" t="e">
        <f t="shared" ca="1" si="78"/>
        <v>#NUM!</v>
      </c>
      <c r="I316" s="131" t="e">
        <f t="shared" ca="1" si="79"/>
        <v>#NUM!</v>
      </c>
      <c r="J316" s="66"/>
      <c r="K316" s="11"/>
      <c r="L316" s="11"/>
      <c r="M316" s="6" t="e">
        <f t="shared" ca="1" si="80"/>
        <v>#NUM!</v>
      </c>
      <c r="N316" s="40" t="str">
        <f t="shared" si="71"/>
        <v>298기 보수</v>
      </c>
      <c r="O316" s="38" t="e">
        <f t="shared" ca="1" si="81"/>
        <v>#NUM!</v>
      </c>
      <c r="P316" s="38" t="e">
        <f t="shared" ca="1" si="82"/>
        <v>#NAME?</v>
      </c>
      <c r="Q316" s="38" t="e">
        <f t="shared" ca="1" si="83"/>
        <v>#NUM!</v>
      </c>
      <c r="R316" s="38" t="e">
        <f t="shared" ca="1" si="84"/>
        <v>#NUM!</v>
      </c>
      <c r="S316" s="38" t="e">
        <f t="shared" ca="1" si="85"/>
        <v>#NUM!</v>
      </c>
      <c r="T316" s="38" t="e">
        <f t="shared" ca="1" si="86"/>
        <v>#NUM!</v>
      </c>
    </row>
    <row r="317" spans="1:20" ht="20.25" customHeight="1">
      <c r="A317" s="62"/>
      <c r="B317" s="6" t="e">
        <f t="shared" ca="1" si="72"/>
        <v>#NUM!</v>
      </c>
      <c r="C317" s="117" t="e">
        <f t="shared" ca="1" si="73"/>
        <v>#NUM!</v>
      </c>
      <c r="D317" s="131" t="e">
        <f t="shared" ca="1" si="74"/>
        <v>#NUM!</v>
      </c>
      <c r="E317" s="131" t="e">
        <f t="shared" ca="1" si="75"/>
        <v>#NUM!</v>
      </c>
      <c r="F317" s="137" t="e">
        <f t="shared" ca="1" si="76"/>
        <v>#NUM!</v>
      </c>
      <c r="G317" s="132" t="e">
        <f t="shared" ca="1" si="77"/>
        <v>#NUM!</v>
      </c>
      <c r="H317" s="132" t="e">
        <f t="shared" ca="1" si="78"/>
        <v>#NUM!</v>
      </c>
      <c r="I317" s="131" t="e">
        <f t="shared" ca="1" si="79"/>
        <v>#NUM!</v>
      </c>
      <c r="J317" s="66"/>
      <c r="K317" s="11"/>
      <c r="L317" s="11"/>
      <c r="M317" s="6" t="e">
        <f t="shared" ca="1" si="80"/>
        <v>#NUM!</v>
      </c>
      <c r="N317" s="40" t="str">
        <f t="shared" si="71"/>
        <v>299기 보수</v>
      </c>
      <c r="O317" s="38" t="e">
        <f t="shared" ca="1" si="81"/>
        <v>#NUM!</v>
      </c>
      <c r="P317" s="38" t="e">
        <f t="shared" ca="1" si="82"/>
        <v>#NAME?</v>
      </c>
      <c r="Q317" s="38" t="e">
        <f t="shared" ca="1" si="83"/>
        <v>#NUM!</v>
      </c>
      <c r="R317" s="38" t="e">
        <f t="shared" ca="1" si="84"/>
        <v>#NUM!</v>
      </c>
      <c r="S317" s="38" t="e">
        <f t="shared" ca="1" si="85"/>
        <v>#NUM!</v>
      </c>
      <c r="T317" s="38" t="e">
        <f t="shared" ca="1" si="86"/>
        <v>#NUM!</v>
      </c>
    </row>
    <row r="318" spans="1:20" ht="20.25" customHeight="1">
      <c r="A318" s="62"/>
      <c r="B318" s="6" t="e">
        <f t="shared" ca="1" si="72"/>
        <v>#NUM!</v>
      </c>
      <c r="C318" s="117" t="e">
        <f t="shared" ca="1" si="73"/>
        <v>#NUM!</v>
      </c>
      <c r="D318" s="131" t="e">
        <f t="shared" ca="1" si="74"/>
        <v>#NUM!</v>
      </c>
      <c r="E318" s="131" t="e">
        <f t="shared" ca="1" si="75"/>
        <v>#NUM!</v>
      </c>
      <c r="F318" s="137" t="e">
        <f t="shared" ca="1" si="76"/>
        <v>#NUM!</v>
      </c>
      <c r="G318" s="132" t="e">
        <f t="shared" ca="1" si="77"/>
        <v>#NUM!</v>
      </c>
      <c r="H318" s="132" t="e">
        <f t="shared" ca="1" si="78"/>
        <v>#NUM!</v>
      </c>
      <c r="I318" s="131" t="e">
        <f t="shared" ca="1" si="79"/>
        <v>#NUM!</v>
      </c>
      <c r="J318" s="66"/>
      <c r="K318" s="11"/>
      <c r="L318" s="11"/>
      <c r="M318" s="6" t="e">
        <f t="shared" ca="1" si="80"/>
        <v>#NUM!</v>
      </c>
      <c r="N318" s="40" t="str">
        <f t="shared" si="71"/>
        <v>300기 보수</v>
      </c>
      <c r="O318" s="38" t="e">
        <f t="shared" ca="1" si="81"/>
        <v>#NUM!</v>
      </c>
      <c r="P318" s="38" t="e">
        <f t="shared" ca="1" si="82"/>
        <v>#NAME?</v>
      </c>
      <c r="Q318" s="38" t="e">
        <f t="shared" ca="1" si="83"/>
        <v>#NUM!</v>
      </c>
      <c r="R318" s="38" t="e">
        <f t="shared" ca="1" si="84"/>
        <v>#NUM!</v>
      </c>
      <c r="S318" s="38" t="e">
        <f t="shared" ca="1" si="85"/>
        <v>#NUM!</v>
      </c>
      <c r="T318" s="38" t="e">
        <f t="shared" ca="1" si="86"/>
        <v>#NUM!</v>
      </c>
    </row>
    <row r="319" spans="1:20" ht="20.25" customHeight="1">
      <c r="A319" s="62"/>
      <c r="B319" s="67" t="s">
        <v>100</v>
      </c>
      <c r="C319" s="127" t="e">
        <f ca="1">SUM(C19:C318)</f>
        <v>#NUM!</v>
      </c>
      <c r="D319" s="127" t="e">
        <f ca="1">SUM(D19:D318)</f>
        <v>#NUM!</v>
      </c>
      <c r="E319" s="127" t="e">
        <f ca="1">SUM(E19:E318)</f>
        <v>#NUM!</v>
      </c>
      <c r="F319" s="127"/>
      <c r="G319" s="127" t="e">
        <f ca="1">SUM(G19:G318)</f>
        <v>#NUM!</v>
      </c>
      <c r="H319" s="127" t="e">
        <f ca="1">SUM(H19:H318)</f>
        <v>#NUM!</v>
      </c>
      <c r="I319" s="127" t="e">
        <f ca="1">SUM(I19:I318)</f>
        <v>#NUM!</v>
      </c>
      <c r="J319" s="66"/>
      <c r="K319" s="47"/>
      <c r="L319" s="47"/>
      <c r="M319" s="45"/>
    </row>
    <row r="320" spans="1:20" s="15" customFormat="1" ht="15.75" customHeight="1">
      <c r="A320" s="87"/>
      <c r="B320" s="59"/>
      <c r="C320" s="3"/>
      <c r="D320" s="3"/>
      <c r="E320" s="3"/>
      <c r="F320" s="3"/>
      <c r="G320" s="3"/>
      <c r="H320" s="3"/>
      <c r="I320" s="3"/>
      <c r="J320" s="70"/>
      <c r="K320" s="45"/>
      <c r="L320" s="45"/>
      <c r="M320" s="45"/>
      <c r="N320" s="29"/>
      <c r="O320" s="1"/>
    </row>
    <row r="321" spans="1:17" s="15" customFormat="1" ht="20.25" customHeight="1">
      <c r="A321" s="87"/>
      <c r="B321" s="59" t="s">
        <v>103</v>
      </c>
      <c r="C321" s="3"/>
      <c r="D321" s="3"/>
      <c r="E321" s="3"/>
      <c r="F321" s="3"/>
      <c r="G321" s="3"/>
      <c r="H321" s="3"/>
      <c r="I321" s="3"/>
      <c r="J321" s="70"/>
      <c r="K321" s="45"/>
      <c r="L321" s="45"/>
      <c r="M321" s="45"/>
      <c r="N321" s="29"/>
      <c r="O321" s="1"/>
    </row>
    <row r="322" spans="1:17" s="15" customFormat="1" ht="20.25" customHeight="1">
      <c r="A322" s="87"/>
      <c r="B322" s="74" t="s">
        <v>104</v>
      </c>
      <c r="C322" s="3"/>
      <c r="D322" s="3"/>
      <c r="E322" s="3"/>
      <c r="F322" s="3"/>
      <c r="G322" s="3"/>
      <c r="H322" s="3"/>
      <c r="I322" s="3"/>
      <c r="J322" s="70"/>
      <c r="K322" s="45"/>
      <c r="L322" s="45"/>
      <c r="M322" s="48"/>
      <c r="N322" s="29"/>
      <c r="O322" s="1"/>
    </row>
    <row r="323" spans="1:17" s="17" customFormat="1" ht="20.25" customHeight="1">
      <c r="A323" s="88"/>
      <c r="B323" s="74" t="s">
        <v>111</v>
      </c>
      <c r="C323" s="16"/>
      <c r="D323" s="16"/>
      <c r="E323" s="16"/>
      <c r="F323" s="16"/>
      <c r="G323" s="16"/>
      <c r="H323" s="16"/>
      <c r="I323" s="16"/>
      <c r="J323" s="68"/>
      <c r="K323" s="58"/>
      <c r="L323" s="48"/>
      <c r="M323" s="48"/>
      <c r="N323" s="29"/>
      <c r="O323" s="30"/>
      <c r="P323" s="31"/>
      <c r="Q323" s="29"/>
    </row>
    <row r="324" spans="1:17" s="17" customFormat="1" ht="20.25" customHeight="1">
      <c r="A324" s="88"/>
      <c r="B324" s="75" t="s">
        <v>105</v>
      </c>
      <c r="C324" s="16"/>
      <c r="D324" s="16"/>
      <c r="E324" s="16"/>
      <c r="F324" s="16"/>
      <c r="G324" s="16"/>
      <c r="H324" s="16"/>
      <c r="I324" s="16"/>
      <c r="J324" s="68"/>
      <c r="K324" s="58"/>
      <c r="L324" s="48"/>
      <c r="M324" s="48"/>
      <c r="N324" s="29"/>
      <c r="O324" s="30"/>
      <c r="P324" s="31"/>
      <c r="Q324" s="29"/>
    </row>
    <row r="325" spans="1:17" s="17" customFormat="1" ht="20.25" customHeight="1">
      <c r="A325" s="88"/>
      <c r="B325" s="75" t="s">
        <v>106</v>
      </c>
      <c r="C325" s="16"/>
      <c r="D325" s="16"/>
      <c r="E325" s="16"/>
      <c r="F325" s="16"/>
      <c r="G325" s="16"/>
      <c r="H325" s="16"/>
      <c r="I325" s="16"/>
      <c r="J325" s="68"/>
      <c r="K325" s="16"/>
      <c r="L325" s="28"/>
      <c r="M325" s="49"/>
      <c r="N325" s="33"/>
      <c r="O325" s="30"/>
      <c r="P325" s="29"/>
      <c r="Q325" s="29"/>
    </row>
    <row r="326" spans="1:17" s="19" customFormat="1" ht="20.25" customHeight="1">
      <c r="A326" s="89"/>
      <c r="B326" s="76" t="s">
        <v>107</v>
      </c>
      <c r="C326" s="18"/>
      <c r="D326" s="18"/>
      <c r="E326" s="18"/>
      <c r="F326" s="18"/>
      <c r="G326" s="18"/>
      <c r="H326" s="18"/>
      <c r="I326" s="18"/>
      <c r="J326" s="69"/>
      <c r="K326" s="18"/>
      <c r="L326" s="32"/>
      <c r="M326" s="49"/>
      <c r="N326" s="33"/>
      <c r="O326" s="30"/>
      <c r="P326" s="33"/>
      <c r="Q326" s="33"/>
    </row>
    <row r="327" spans="1:17" s="19" customFormat="1" ht="20.25" customHeight="1">
      <c r="A327" s="89"/>
      <c r="B327" s="76" t="s">
        <v>108</v>
      </c>
      <c r="C327" s="18"/>
      <c r="D327" s="18"/>
      <c r="E327" s="18"/>
      <c r="F327" s="18"/>
      <c r="G327" s="18"/>
      <c r="H327" s="18"/>
      <c r="I327" s="18"/>
      <c r="J327" s="69"/>
      <c r="K327" s="18"/>
      <c r="L327" s="32"/>
      <c r="M327" s="49"/>
      <c r="N327" s="33"/>
      <c r="O327" s="30"/>
      <c r="P327" s="33"/>
      <c r="Q327" s="33"/>
    </row>
    <row r="328" spans="1:17" s="19" customFormat="1" ht="20.25" customHeight="1">
      <c r="A328" s="89"/>
      <c r="B328" s="77" t="s">
        <v>102</v>
      </c>
      <c r="C328" s="18"/>
      <c r="D328" s="20"/>
      <c r="E328" s="20"/>
      <c r="F328" s="20"/>
      <c r="G328" s="20"/>
      <c r="H328" s="20"/>
      <c r="I328" s="20"/>
      <c r="J328" s="82"/>
      <c r="K328" s="18"/>
      <c r="L328" s="32"/>
      <c r="M328" s="50"/>
      <c r="N328" s="29"/>
      <c r="O328" s="30"/>
      <c r="P328" s="33"/>
      <c r="Q328" s="33"/>
    </row>
    <row r="329" spans="1:17" ht="20.25" customHeight="1">
      <c r="A329" s="62"/>
      <c r="B329" s="76" t="s">
        <v>109</v>
      </c>
      <c r="C329" s="3"/>
      <c r="D329" s="3"/>
      <c r="E329" s="3"/>
      <c r="F329" s="3"/>
      <c r="G329" s="3"/>
      <c r="H329" s="3"/>
      <c r="I329" s="3"/>
      <c r="J329" s="70"/>
      <c r="K329" s="3"/>
    </row>
    <row r="330" spans="1:17" ht="20.25" customHeight="1">
      <c r="A330" s="62"/>
      <c r="B330" s="76" t="s">
        <v>110</v>
      </c>
      <c r="C330" s="3"/>
      <c r="D330" s="3"/>
      <c r="E330" s="3"/>
      <c r="F330" s="3"/>
      <c r="G330" s="3"/>
      <c r="H330" s="3"/>
      <c r="I330" s="3"/>
      <c r="J330" s="70"/>
      <c r="K330" s="3"/>
    </row>
    <row r="331" spans="1:17" ht="20.25" customHeight="1">
      <c r="A331" s="62"/>
      <c r="B331" s="76" t="s">
        <v>118</v>
      </c>
      <c r="C331" s="3"/>
      <c r="D331" s="3"/>
      <c r="E331" s="3"/>
      <c r="F331" s="3"/>
      <c r="G331" s="3"/>
      <c r="H331" s="3"/>
      <c r="I331" s="3"/>
      <c r="J331" s="70"/>
      <c r="K331" s="3"/>
    </row>
    <row r="332" spans="1:17" ht="15.75" customHeight="1">
      <c r="A332" s="62"/>
      <c r="B332" s="76"/>
      <c r="C332" s="3"/>
      <c r="D332" s="3"/>
      <c r="E332" s="3"/>
      <c r="F332" s="3"/>
      <c r="G332" s="3"/>
      <c r="H332" s="3"/>
      <c r="I332" s="3"/>
      <c r="J332" s="70"/>
      <c r="K332" s="3"/>
    </row>
    <row r="333" spans="1:17" ht="15.75" customHeight="1">
      <c r="A333" s="62"/>
      <c r="B333" s="76"/>
      <c r="C333" s="3"/>
      <c r="D333" s="3"/>
      <c r="E333" s="3"/>
      <c r="F333" s="3"/>
      <c r="G333" s="3"/>
      <c r="H333" s="3"/>
      <c r="I333" s="3"/>
      <c r="J333" s="70"/>
      <c r="K333" s="3"/>
    </row>
    <row r="334" spans="1:17" ht="15.75" customHeight="1">
      <c r="A334" s="62"/>
      <c r="B334" s="76"/>
      <c r="C334" s="3"/>
      <c r="D334" s="3"/>
      <c r="E334" s="3"/>
      <c r="F334" s="3"/>
      <c r="G334" s="3"/>
      <c r="H334" s="3"/>
      <c r="I334" s="3"/>
      <c r="J334" s="70"/>
      <c r="K334" s="3"/>
    </row>
    <row r="335" spans="1:17" ht="15.75" customHeight="1">
      <c r="A335" s="62"/>
      <c r="B335" s="76"/>
      <c r="C335" s="3"/>
      <c r="D335" s="3"/>
      <c r="E335" s="3"/>
      <c r="F335" s="3"/>
      <c r="G335" s="3"/>
      <c r="H335" s="3"/>
      <c r="I335" s="3"/>
      <c r="J335" s="70"/>
      <c r="K335" s="3"/>
    </row>
    <row r="336" spans="1:17" ht="15.75" customHeight="1">
      <c r="A336" s="62"/>
      <c r="B336" s="76"/>
      <c r="C336" s="3"/>
      <c r="D336" s="3"/>
      <c r="E336" s="3"/>
      <c r="F336" s="3"/>
      <c r="G336" s="3"/>
      <c r="H336" s="3"/>
      <c r="I336" s="3"/>
      <c r="J336" s="70"/>
      <c r="K336" s="3"/>
    </row>
    <row r="337" spans="1:11" ht="15.75" customHeight="1">
      <c r="A337" s="62"/>
      <c r="B337" s="76"/>
      <c r="C337" s="3"/>
      <c r="D337" s="3"/>
      <c r="E337" s="3"/>
      <c r="F337" s="3"/>
      <c r="G337" s="3"/>
      <c r="H337" s="3"/>
      <c r="I337" s="3"/>
      <c r="J337" s="70"/>
      <c r="K337" s="3"/>
    </row>
    <row r="338" spans="1:11">
      <c r="A338" s="90"/>
      <c r="B338" s="71"/>
      <c r="C338" s="71"/>
      <c r="D338" s="71"/>
      <c r="E338" s="71"/>
      <c r="F338" s="71"/>
      <c r="G338" s="71"/>
      <c r="H338" s="71"/>
      <c r="I338" s="71"/>
      <c r="J338" s="72"/>
    </row>
  </sheetData>
  <mergeCells count="4">
    <mergeCell ref="B2:I2"/>
    <mergeCell ref="B5:C5"/>
    <mergeCell ref="D5:E5"/>
    <mergeCell ref="F5:G5"/>
  </mergeCells>
  <phoneticPr fontId="2" type="noConversion"/>
  <dataValidations count="6">
    <dataValidation type="list" allowBlank="1" showInputMessage="1" showErrorMessage="1" sqref="E4">
      <formula1>$M$6:$M$8</formula1>
    </dataValidation>
    <dataValidation type="list" allowBlank="1" showInputMessage="1" showErrorMessage="1" sqref="M6:M8">
      <formula1>M6:M8</formula1>
    </dataValidation>
    <dataValidation type="list" allowBlank="1" showInputMessage="1" showErrorMessage="1" sqref="C12 C13">
      <formula1>$P$7:$P$11</formula1>
    </dataValidation>
    <dataValidation type="list" allowBlank="1" showInputMessage="1" showErrorMessage="1" sqref="C10">
      <formula1>$O$7:$O$9</formula1>
    </dataValidation>
    <dataValidation type="list" allowBlank="1" showInputMessage="1" showErrorMessage="1" sqref="C3">
      <formula1>$N$7:$N$11</formula1>
    </dataValidation>
    <dataValidation type="list" allowBlank="1" showInputMessage="1" showErrorMessage="1" sqref="C16">
      <formula1>"농특세형(0%+1.4%/2.8%),표준(소득세14%+지방세),비과세(0%)"</formula1>
    </dataValidation>
  </dataValidations>
  <printOptions horizontalCentered="1"/>
  <pageMargins left="0.23622047244094491" right="0.23622047244094491" top="1.1811023622047245" bottom="0.74803149606299213" header="0.31496062992125984" footer="0.31496062992125984"/>
  <pageSetup paperSize="9" scale="66" fitToHeight="0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T182"/>
  <sheetViews>
    <sheetView showGridLines="0" zoomScaleNormal="100" zoomScaleSheetLayoutView="90" workbookViewId="0">
      <selection activeCell="E13" sqref="E13"/>
    </sheetView>
  </sheetViews>
  <sheetFormatPr defaultColWidth="10" defaultRowHeight="13.5"/>
  <cols>
    <col min="1" max="1" width="3.125" style="1" customWidth="1"/>
    <col min="2" max="3" width="17.875" style="1" customWidth="1"/>
    <col min="4" max="4" width="16.125" style="1" customWidth="1"/>
    <col min="5" max="5" width="15.5" style="1" customWidth="1"/>
    <col min="6" max="6" width="15.625" style="1" customWidth="1"/>
    <col min="7" max="7" width="16" style="1" customWidth="1"/>
    <col min="8" max="8" width="14.875" style="1" customWidth="1"/>
    <col min="9" max="9" width="15.75" style="1" customWidth="1"/>
    <col min="10" max="10" width="3.875" style="1" customWidth="1"/>
    <col min="11" max="11" width="4.125" style="1" customWidth="1"/>
    <col min="12" max="12" width="12.125" style="1" customWidth="1"/>
    <col min="13" max="13" width="12.125" style="50" customWidth="1"/>
    <col min="14" max="14" width="10.5" style="1" customWidth="1"/>
    <col min="15" max="20" width="14.625" style="1" customWidth="1"/>
    <col min="21" max="43" width="10" style="1" customWidth="1"/>
    <col min="44" max="258" width="10" style="1"/>
    <col min="259" max="264" width="17.875" style="1" customWidth="1"/>
    <col min="265" max="267" width="15.875" style="1" customWidth="1"/>
    <col min="268" max="514" width="10" style="1"/>
    <col min="515" max="520" width="17.875" style="1" customWidth="1"/>
    <col min="521" max="523" width="15.875" style="1" customWidth="1"/>
    <col min="524" max="770" width="10" style="1"/>
    <col min="771" max="776" width="17.875" style="1" customWidth="1"/>
    <col min="777" max="779" width="15.875" style="1" customWidth="1"/>
    <col min="780" max="1026" width="10" style="1"/>
    <col min="1027" max="1032" width="17.875" style="1" customWidth="1"/>
    <col min="1033" max="1035" width="15.875" style="1" customWidth="1"/>
    <col min="1036" max="1282" width="10" style="1"/>
    <col min="1283" max="1288" width="17.875" style="1" customWidth="1"/>
    <col min="1289" max="1291" width="15.875" style="1" customWidth="1"/>
    <col min="1292" max="1538" width="10" style="1"/>
    <col min="1539" max="1544" width="17.875" style="1" customWidth="1"/>
    <col min="1545" max="1547" width="15.875" style="1" customWidth="1"/>
    <col min="1548" max="1794" width="10" style="1"/>
    <col min="1795" max="1800" width="17.875" style="1" customWidth="1"/>
    <col min="1801" max="1803" width="15.875" style="1" customWidth="1"/>
    <col min="1804" max="2050" width="10" style="1"/>
    <col min="2051" max="2056" width="17.875" style="1" customWidth="1"/>
    <col min="2057" max="2059" width="15.875" style="1" customWidth="1"/>
    <col min="2060" max="2306" width="10" style="1"/>
    <col min="2307" max="2312" width="17.875" style="1" customWidth="1"/>
    <col min="2313" max="2315" width="15.875" style="1" customWidth="1"/>
    <col min="2316" max="2562" width="10" style="1"/>
    <col min="2563" max="2568" width="17.875" style="1" customWidth="1"/>
    <col min="2569" max="2571" width="15.875" style="1" customWidth="1"/>
    <col min="2572" max="2818" width="10" style="1"/>
    <col min="2819" max="2824" width="17.875" style="1" customWidth="1"/>
    <col min="2825" max="2827" width="15.875" style="1" customWidth="1"/>
    <col min="2828" max="3074" width="10" style="1"/>
    <col min="3075" max="3080" width="17.875" style="1" customWidth="1"/>
    <col min="3081" max="3083" width="15.875" style="1" customWidth="1"/>
    <col min="3084" max="3330" width="10" style="1"/>
    <col min="3331" max="3336" width="17.875" style="1" customWidth="1"/>
    <col min="3337" max="3339" width="15.875" style="1" customWidth="1"/>
    <col min="3340" max="3586" width="10" style="1"/>
    <col min="3587" max="3592" width="17.875" style="1" customWidth="1"/>
    <col min="3593" max="3595" width="15.875" style="1" customWidth="1"/>
    <col min="3596" max="3842" width="10" style="1"/>
    <col min="3843" max="3848" width="17.875" style="1" customWidth="1"/>
    <col min="3849" max="3851" width="15.875" style="1" customWidth="1"/>
    <col min="3852" max="4098" width="10" style="1"/>
    <col min="4099" max="4104" width="17.875" style="1" customWidth="1"/>
    <col min="4105" max="4107" width="15.875" style="1" customWidth="1"/>
    <col min="4108" max="4354" width="10" style="1"/>
    <col min="4355" max="4360" width="17.875" style="1" customWidth="1"/>
    <col min="4361" max="4363" width="15.875" style="1" customWidth="1"/>
    <col min="4364" max="4610" width="10" style="1"/>
    <col min="4611" max="4616" width="17.875" style="1" customWidth="1"/>
    <col min="4617" max="4619" width="15.875" style="1" customWidth="1"/>
    <col min="4620" max="4866" width="10" style="1"/>
    <col min="4867" max="4872" width="17.875" style="1" customWidth="1"/>
    <col min="4873" max="4875" width="15.875" style="1" customWidth="1"/>
    <col min="4876" max="5122" width="10" style="1"/>
    <col min="5123" max="5128" width="17.875" style="1" customWidth="1"/>
    <col min="5129" max="5131" width="15.875" style="1" customWidth="1"/>
    <col min="5132" max="5378" width="10" style="1"/>
    <col min="5379" max="5384" width="17.875" style="1" customWidth="1"/>
    <col min="5385" max="5387" width="15.875" style="1" customWidth="1"/>
    <col min="5388" max="5634" width="10" style="1"/>
    <col min="5635" max="5640" width="17.875" style="1" customWidth="1"/>
    <col min="5641" max="5643" width="15.875" style="1" customWidth="1"/>
    <col min="5644" max="5890" width="10" style="1"/>
    <col min="5891" max="5896" width="17.875" style="1" customWidth="1"/>
    <col min="5897" max="5899" width="15.875" style="1" customWidth="1"/>
    <col min="5900" max="6146" width="10" style="1"/>
    <col min="6147" max="6152" width="17.875" style="1" customWidth="1"/>
    <col min="6153" max="6155" width="15.875" style="1" customWidth="1"/>
    <col min="6156" max="6402" width="10" style="1"/>
    <col min="6403" max="6408" width="17.875" style="1" customWidth="1"/>
    <col min="6409" max="6411" width="15.875" style="1" customWidth="1"/>
    <col min="6412" max="6658" width="10" style="1"/>
    <col min="6659" max="6664" width="17.875" style="1" customWidth="1"/>
    <col min="6665" max="6667" width="15.875" style="1" customWidth="1"/>
    <col min="6668" max="6914" width="10" style="1"/>
    <col min="6915" max="6920" width="17.875" style="1" customWidth="1"/>
    <col min="6921" max="6923" width="15.875" style="1" customWidth="1"/>
    <col min="6924" max="7170" width="10" style="1"/>
    <col min="7171" max="7176" width="17.875" style="1" customWidth="1"/>
    <col min="7177" max="7179" width="15.875" style="1" customWidth="1"/>
    <col min="7180" max="7426" width="10" style="1"/>
    <col min="7427" max="7432" width="17.875" style="1" customWidth="1"/>
    <col min="7433" max="7435" width="15.875" style="1" customWidth="1"/>
    <col min="7436" max="7682" width="10" style="1"/>
    <col min="7683" max="7688" width="17.875" style="1" customWidth="1"/>
    <col min="7689" max="7691" width="15.875" style="1" customWidth="1"/>
    <col min="7692" max="7938" width="10" style="1"/>
    <col min="7939" max="7944" width="17.875" style="1" customWidth="1"/>
    <col min="7945" max="7947" width="15.875" style="1" customWidth="1"/>
    <col min="7948" max="8194" width="10" style="1"/>
    <col min="8195" max="8200" width="17.875" style="1" customWidth="1"/>
    <col min="8201" max="8203" width="15.875" style="1" customWidth="1"/>
    <col min="8204" max="8450" width="10" style="1"/>
    <col min="8451" max="8456" width="17.875" style="1" customWidth="1"/>
    <col min="8457" max="8459" width="15.875" style="1" customWidth="1"/>
    <col min="8460" max="8706" width="10" style="1"/>
    <col min="8707" max="8712" width="17.875" style="1" customWidth="1"/>
    <col min="8713" max="8715" width="15.875" style="1" customWidth="1"/>
    <col min="8716" max="8962" width="10" style="1"/>
    <col min="8963" max="8968" width="17.875" style="1" customWidth="1"/>
    <col min="8969" max="8971" width="15.875" style="1" customWidth="1"/>
    <col min="8972" max="9218" width="10" style="1"/>
    <col min="9219" max="9224" width="17.875" style="1" customWidth="1"/>
    <col min="9225" max="9227" width="15.875" style="1" customWidth="1"/>
    <col min="9228" max="9474" width="10" style="1"/>
    <col min="9475" max="9480" width="17.875" style="1" customWidth="1"/>
    <col min="9481" max="9483" width="15.875" style="1" customWidth="1"/>
    <col min="9484" max="9730" width="10" style="1"/>
    <col min="9731" max="9736" width="17.875" style="1" customWidth="1"/>
    <col min="9737" max="9739" width="15.875" style="1" customWidth="1"/>
    <col min="9740" max="9986" width="10" style="1"/>
    <col min="9987" max="9992" width="17.875" style="1" customWidth="1"/>
    <col min="9993" max="9995" width="15.875" style="1" customWidth="1"/>
    <col min="9996" max="10242" width="10" style="1"/>
    <col min="10243" max="10248" width="17.875" style="1" customWidth="1"/>
    <col min="10249" max="10251" width="15.875" style="1" customWidth="1"/>
    <col min="10252" max="10498" width="10" style="1"/>
    <col min="10499" max="10504" width="17.875" style="1" customWidth="1"/>
    <col min="10505" max="10507" width="15.875" style="1" customWidth="1"/>
    <col min="10508" max="10754" width="10" style="1"/>
    <col min="10755" max="10760" width="17.875" style="1" customWidth="1"/>
    <col min="10761" max="10763" width="15.875" style="1" customWidth="1"/>
    <col min="10764" max="11010" width="10" style="1"/>
    <col min="11011" max="11016" width="17.875" style="1" customWidth="1"/>
    <col min="11017" max="11019" width="15.875" style="1" customWidth="1"/>
    <col min="11020" max="11266" width="10" style="1"/>
    <col min="11267" max="11272" width="17.875" style="1" customWidth="1"/>
    <col min="11273" max="11275" width="15.875" style="1" customWidth="1"/>
    <col min="11276" max="11522" width="10" style="1"/>
    <col min="11523" max="11528" width="17.875" style="1" customWidth="1"/>
    <col min="11529" max="11531" width="15.875" style="1" customWidth="1"/>
    <col min="11532" max="11778" width="10" style="1"/>
    <col min="11779" max="11784" width="17.875" style="1" customWidth="1"/>
    <col min="11785" max="11787" width="15.875" style="1" customWidth="1"/>
    <col min="11788" max="12034" width="10" style="1"/>
    <col min="12035" max="12040" width="17.875" style="1" customWidth="1"/>
    <col min="12041" max="12043" width="15.875" style="1" customWidth="1"/>
    <col min="12044" max="12290" width="10" style="1"/>
    <col min="12291" max="12296" width="17.875" style="1" customWidth="1"/>
    <col min="12297" max="12299" width="15.875" style="1" customWidth="1"/>
    <col min="12300" max="12546" width="10" style="1"/>
    <col min="12547" max="12552" width="17.875" style="1" customWidth="1"/>
    <col min="12553" max="12555" width="15.875" style="1" customWidth="1"/>
    <col min="12556" max="12802" width="10" style="1"/>
    <col min="12803" max="12808" width="17.875" style="1" customWidth="1"/>
    <col min="12809" max="12811" width="15.875" style="1" customWidth="1"/>
    <col min="12812" max="13058" width="10" style="1"/>
    <col min="13059" max="13064" width="17.875" style="1" customWidth="1"/>
    <col min="13065" max="13067" width="15.875" style="1" customWidth="1"/>
    <col min="13068" max="13314" width="10" style="1"/>
    <col min="13315" max="13320" width="17.875" style="1" customWidth="1"/>
    <col min="13321" max="13323" width="15.875" style="1" customWidth="1"/>
    <col min="13324" max="13570" width="10" style="1"/>
    <col min="13571" max="13576" width="17.875" style="1" customWidth="1"/>
    <col min="13577" max="13579" width="15.875" style="1" customWidth="1"/>
    <col min="13580" max="13826" width="10" style="1"/>
    <col min="13827" max="13832" width="17.875" style="1" customWidth="1"/>
    <col min="13833" max="13835" width="15.875" style="1" customWidth="1"/>
    <col min="13836" max="14082" width="10" style="1"/>
    <col min="14083" max="14088" width="17.875" style="1" customWidth="1"/>
    <col min="14089" max="14091" width="15.875" style="1" customWidth="1"/>
    <col min="14092" max="14338" width="10" style="1"/>
    <col min="14339" max="14344" width="17.875" style="1" customWidth="1"/>
    <col min="14345" max="14347" width="15.875" style="1" customWidth="1"/>
    <col min="14348" max="14594" width="10" style="1"/>
    <col min="14595" max="14600" width="17.875" style="1" customWidth="1"/>
    <col min="14601" max="14603" width="15.875" style="1" customWidth="1"/>
    <col min="14604" max="14850" width="10" style="1"/>
    <col min="14851" max="14856" width="17.875" style="1" customWidth="1"/>
    <col min="14857" max="14859" width="15.875" style="1" customWidth="1"/>
    <col min="14860" max="15106" width="10" style="1"/>
    <col min="15107" max="15112" width="17.875" style="1" customWidth="1"/>
    <col min="15113" max="15115" width="15.875" style="1" customWidth="1"/>
    <col min="15116" max="15362" width="10" style="1"/>
    <col min="15363" max="15368" width="17.875" style="1" customWidth="1"/>
    <col min="15369" max="15371" width="15.875" style="1" customWidth="1"/>
    <col min="15372" max="15618" width="10" style="1"/>
    <col min="15619" max="15624" width="17.875" style="1" customWidth="1"/>
    <col min="15625" max="15627" width="15.875" style="1" customWidth="1"/>
    <col min="15628" max="15874" width="10" style="1"/>
    <col min="15875" max="15880" width="17.875" style="1" customWidth="1"/>
    <col min="15881" max="15883" width="15.875" style="1" customWidth="1"/>
    <col min="15884" max="16130" width="10" style="1"/>
    <col min="16131" max="16136" width="17.875" style="1" customWidth="1"/>
    <col min="16137" max="16139" width="15.875" style="1" customWidth="1"/>
    <col min="16140" max="16384" width="10" style="1"/>
  </cols>
  <sheetData>
    <row r="1" spans="1:19" ht="26.25" customHeight="1">
      <c r="A1" s="83"/>
      <c r="B1" s="84" t="s">
        <v>112</v>
      </c>
      <c r="C1" s="60"/>
      <c r="D1" s="60"/>
      <c r="E1" s="60"/>
      <c r="F1" s="60"/>
      <c r="G1" s="60"/>
      <c r="H1" s="60"/>
      <c r="I1" s="60"/>
      <c r="J1" s="61"/>
      <c r="K1" s="3"/>
      <c r="M1" s="118"/>
    </row>
    <row r="2" spans="1:19" ht="42.75" customHeight="1">
      <c r="A2" s="62"/>
      <c r="B2" s="149" t="str">
        <f>"("&amp;C12&amp;")"&amp;" "&amp;C6&amp;" "&amp; "시뮬레이션"</f>
        <v>(USD) KORELE 7.95 04/01/2096 시뮬레이션</v>
      </c>
      <c r="C2" s="149"/>
      <c r="D2" s="149"/>
      <c r="E2" s="149"/>
      <c r="F2" s="149"/>
      <c r="G2" s="149"/>
      <c r="H2" s="149"/>
      <c r="I2" s="149"/>
      <c r="J2" s="85"/>
      <c r="K2" s="80"/>
      <c r="M2" s="44"/>
      <c r="N2" s="42"/>
    </row>
    <row r="3" spans="1:19" ht="14.25" customHeight="1">
      <c r="A3" s="62"/>
      <c r="B3" s="78" t="s">
        <v>31</v>
      </c>
      <c r="C3" s="55" t="s">
        <v>96</v>
      </c>
      <c r="D3" s="2"/>
      <c r="E3" s="2"/>
      <c r="F3" s="2"/>
      <c r="G3" s="2"/>
      <c r="H3" s="2"/>
      <c r="I3" s="2"/>
      <c r="J3" s="63"/>
      <c r="K3" s="2"/>
      <c r="L3" s="3"/>
      <c r="M3" s="45"/>
      <c r="O3" s="25"/>
      <c r="P3" s="51"/>
      <c r="Q3" s="45"/>
    </row>
    <row r="4" spans="1:19" ht="22.5" customHeight="1">
      <c r="A4" s="62"/>
      <c r="B4" s="78" t="s">
        <v>126</v>
      </c>
      <c r="C4" s="78">
        <v>1449.6</v>
      </c>
      <c r="D4" s="134" t="s">
        <v>127</v>
      </c>
      <c r="E4" s="133" t="s">
        <v>129</v>
      </c>
      <c r="F4" s="3"/>
      <c r="G4" s="3"/>
      <c r="H4" s="5"/>
      <c r="I4" s="3"/>
      <c r="J4" s="70"/>
      <c r="K4" s="41"/>
      <c r="L4" s="3"/>
      <c r="M4" s="45"/>
      <c r="O4" s="25"/>
      <c r="P4" s="52"/>
      <c r="Q4" s="45"/>
    </row>
    <row r="5" spans="1:19" ht="22.5" customHeight="1" thickBot="1">
      <c r="A5" s="62"/>
      <c r="B5" s="150" t="s">
        <v>24</v>
      </c>
      <c r="C5" s="150"/>
      <c r="D5" s="151" t="s">
        <v>0</v>
      </c>
      <c r="E5" s="151"/>
      <c r="F5" s="152" t="s">
        <v>1</v>
      </c>
      <c r="G5" s="153"/>
      <c r="H5" s="79"/>
      <c r="I5" s="43"/>
      <c r="J5" s="81"/>
      <c r="K5" s="43"/>
      <c r="L5" s="3"/>
      <c r="M5" s="45" t="s">
        <v>128</v>
      </c>
      <c r="O5" s="45"/>
      <c r="P5" s="45"/>
      <c r="Q5" s="45"/>
    </row>
    <row r="6" spans="1:19" ht="22.5" customHeight="1" thickBot="1">
      <c r="A6" s="62"/>
      <c r="B6" s="106" t="s">
        <v>94</v>
      </c>
      <c r="C6" s="56" t="s">
        <v>135</v>
      </c>
      <c r="D6" s="103" t="s">
        <v>133</v>
      </c>
      <c r="E6" s="36">
        <f>I7-I7*G6</f>
        <v>970000</v>
      </c>
      <c r="F6" s="103" t="s">
        <v>42</v>
      </c>
      <c r="G6" s="111">
        <v>0.03</v>
      </c>
      <c r="H6" s="79"/>
      <c r="I6" s="97" t="str">
        <f>"고객 입금액"&amp;"("&amp;C13&amp;")"</f>
        <v>고객 입금액(USD)</v>
      </c>
      <c r="J6" s="81"/>
      <c r="K6" s="43"/>
      <c r="L6" s="3"/>
      <c r="M6" s="45" t="s">
        <v>129</v>
      </c>
      <c r="N6" s="112" t="s">
        <v>119</v>
      </c>
      <c r="O6" s="112" t="s">
        <v>120</v>
      </c>
      <c r="P6" s="112" t="s">
        <v>121</v>
      </c>
    </row>
    <row r="7" spans="1:19" ht="22.5" customHeight="1" thickBot="1">
      <c r="A7" s="62"/>
      <c r="B7" s="103" t="s">
        <v>18</v>
      </c>
      <c r="C7" s="91">
        <v>35156</v>
      </c>
      <c r="D7" s="103" t="s">
        <v>22</v>
      </c>
      <c r="E7" s="110">
        <v>46620</v>
      </c>
      <c r="F7" s="103" t="s">
        <v>45</v>
      </c>
      <c r="G7" s="124">
        <f>TRUNC(I7*G6,0)</f>
        <v>30000</v>
      </c>
      <c r="H7" s="123"/>
      <c r="I7" s="96">
        <v>1000000</v>
      </c>
      <c r="J7" s="81"/>
      <c r="K7" s="43"/>
      <c r="L7" s="3"/>
      <c r="M7" s="45" t="s">
        <v>130</v>
      </c>
      <c r="N7" s="113" t="s">
        <v>26</v>
      </c>
      <c r="O7" s="113" t="s">
        <v>35</v>
      </c>
      <c r="P7" s="113" t="s">
        <v>114</v>
      </c>
    </row>
    <row r="8" spans="1:19" ht="22.5" customHeight="1">
      <c r="A8" s="62"/>
      <c r="B8" s="103" t="s">
        <v>19</v>
      </c>
      <c r="C8" s="91">
        <v>71681</v>
      </c>
      <c r="D8" s="103" t="s">
        <v>23</v>
      </c>
      <c r="E8" s="108">
        <f>C8+11</f>
        <v>71692</v>
      </c>
      <c r="F8" s="103" t="s">
        <v>43</v>
      </c>
      <c r="G8" s="111">
        <v>5.0000000000000001E-3</v>
      </c>
      <c r="H8" s="122"/>
      <c r="I8" s="43"/>
      <c r="J8" s="81"/>
      <c r="K8" s="43"/>
      <c r="L8" s="3"/>
      <c r="M8" s="45" t="s">
        <v>131</v>
      </c>
      <c r="N8" s="114" t="s">
        <v>27</v>
      </c>
      <c r="O8" s="114" t="s">
        <v>37</v>
      </c>
      <c r="P8" s="114" t="s">
        <v>115</v>
      </c>
    </row>
    <row r="9" spans="1:19" ht="22.5" customHeight="1">
      <c r="A9" s="62"/>
      <c r="B9" s="103" t="s">
        <v>20</v>
      </c>
      <c r="C9" s="92">
        <v>7.9500000000000001E-2</v>
      </c>
      <c r="D9" s="103" t="s">
        <v>4</v>
      </c>
      <c r="E9" s="109">
        <f>IF(C13="krw",ROUNDDOWN(E6/C14/E11*100,-3),ROUNDDOWN(E6/E11*100,-3))</f>
        <v>639000</v>
      </c>
      <c r="F9" s="103" t="s">
        <v>5</v>
      </c>
      <c r="G9" s="101">
        <f>+E8-E7</f>
        <v>25072</v>
      </c>
      <c r="H9" s="122"/>
      <c r="I9" s="128"/>
      <c r="J9" s="81"/>
      <c r="K9" s="43"/>
      <c r="L9" s="3"/>
      <c r="M9" s="45"/>
      <c r="N9" s="114" t="s">
        <v>28</v>
      </c>
      <c r="O9" s="114" t="s">
        <v>38</v>
      </c>
      <c r="P9" s="114" t="s">
        <v>116</v>
      </c>
    </row>
    <row r="10" spans="1:19" ht="22.5" customHeight="1">
      <c r="A10" s="62"/>
      <c r="B10" s="103" t="s">
        <v>34</v>
      </c>
      <c r="C10" s="94" t="s">
        <v>36</v>
      </c>
      <c r="D10" s="103" t="s">
        <v>32</v>
      </c>
      <c r="E10" s="34">
        <f>ROUNDUP(PRICE($O$12,$C$8,$C$9,$E$12,100,IF($C$10=O9,1,IF($C$10=O8,2,4))),4)</f>
        <v>148.6097</v>
      </c>
      <c r="F10" s="104" t="s">
        <v>6</v>
      </c>
      <c r="G10" s="125">
        <f>IF(C13="krw",TRUNC(D163+(C163*C15)+E15-($I$7*G8/365*G9),0),TRUNC(D163+(C163)+E15-($I$7*G8/365*G9),0))</f>
        <v>3800986</v>
      </c>
      <c r="H10" s="122"/>
      <c r="I10" s="129"/>
      <c r="J10" s="81"/>
      <c r="K10" s="43"/>
      <c r="L10" s="4"/>
      <c r="M10" s="46"/>
      <c r="N10" s="114" t="s">
        <v>29</v>
      </c>
      <c r="O10" s="114"/>
      <c r="P10" s="114" t="s">
        <v>117</v>
      </c>
    </row>
    <row r="11" spans="1:19" ht="22.5" customHeight="1">
      <c r="A11" s="62"/>
      <c r="B11" s="103" t="s">
        <v>21</v>
      </c>
      <c r="C11" s="93" t="s">
        <v>98</v>
      </c>
      <c r="D11" s="103" t="s">
        <v>33</v>
      </c>
      <c r="E11" s="130">
        <f>ROUNDUP(E10+(100*$C$9*YEARFRAC($O$13,$O$12,IF(C3=N7,0,IF(C3=N8,1,IF(C3=N9,2,IF(C3=N10,3,4)))))),4)</f>
        <v>151.76769999999999</v>
      </c>
      <c r="F11" s="107" t="s">
        <v>95</v>
      </c>
      <c r="G11" s="125">
        <f>TRUNC(I7*G8/365*(E8-C8),0)</f>
        <v>150</v>
      </c>
      <c r="H11" s="122"/>
      <c r="I11" s="135"/>
      <c r="J11" s="81"/>
      <c r="K11" s="43"/>
      <c r="L11" s="4"/>
      <c r="M11" s="46"/>
      <c r="N11" s="115" t="s">
        <v>30</v>
      </c>
      <c r="O11" s="115"/>
      <c r="P11" s="115" t="s">
        <v>124</v>
      </c>
    </row>
    <row r="12" spans="1:19" ht="22.5" customHeight="1">
      <c r="A12" s="62"/>
      <c r="B12" s="103" t="s">
        <v>125</v>
      </c>
      <c r="C12" s="93" t="s">
        <v>113</v>
      </c>
      <c r="D12" s="103" t="s">
        <v>7</v>
      </c>
      <c r="E12" s="139">
        <v>5.2999999999999999E-2</v>
      </c>
      <c r="F12" s="104" t="s">
        <v>10</v>
      </c>
      <c r="G12" s="125" t="e">
        <f ca="1">IF(C13="krw",(TRUNC(I163+(C163*C15)+E15-G11,0)),(TRUNC(I163+(C163)+E15-G11,0)))</f>
        <v>#NAME?</v>
      </c>
      <c r="H12" s="122"/>
      <c r="I12" s="43"/>
      <c r="J12" s="81"/>
      <c r="K12" s="43"/>
      <c r="L12" s="4"/>
      <c r="M12" s="46"/>
      <c r="N12" s="103" t="s">
        <v>8</v>
      </c>
      <c r="O12" s="95">
        <f>WORKDAY(E7,2)</f>
        <v>46623</v>
      </c>
    </row>
    <row r="13" spans="1:19" ht="22.5" customHeight="1">
      <c r="A13" s="62"/>
      <c r="B13" s="103" t="s">
        <v>39</v>
      </c>
      <c r="C13" s="109" t="s">
        <v>113</v>
      </c>
      <c r="D13" s="103" t="s">
        <v>134</v>
      </c>
      <c r="E13" s="98">
        <f>E9*$C$9*YEARFRAC($O$13,$O$12,IF(C3=N7,0,IF(C3=N8,1,IF(C3=N9,2,IF(C3=N10,3,4)))))</f>
        <v>20179.087499999998</v>
      </c>
      <c r="F13" s="119" t="s">
        <v>12</v>
      </c>
      <c r="G13" s="22">
        <f>(G10-I7)/I7*365/G9</f>
        <v>4.0776957961072113E-2</v>
      </c>
      <c r="H13" s="122"/>
      <c r="I13" s="43"/>
      <c r="J13" s="81"/>
      <c r="K13" s="43"/>
      <c r="L13" s="4"/>
      <c r="M13" s="46"/>
      <c r="N13" s="104" t="s">
        <v>25</v>
      </c>
      <c r="O13" s="91">
        <f>COUPPCD(O12,C8,IF($C$10=$O$9,1,IF($C$10=$O$8,2,4)),IF(C3=N7,0,IF(C3=N8,1,IF(C3=N9,2,IF(C3=N10,3,4)))))</f>
        <v>46478</v>
      </c>
    </row>
    <row r="14" spans="1:19" ht="22.5" customHeight="1">
      <c r="A14" s="62"/>
      <c r="B14" s="103" t="s">
        <v>122</v>
      </c>
      <c r="C14" s="121">
        <f>C4</f>
        <v>1449.6</v>
      </c>
      <c r="D14" s="103" t="s">
        <v>132</v>
      </c>
      <c r="E14" s="99">
        <f>IF(C13="KRW",E9*E11/100*C14,E9*E11/100)</f>
        <v>969795.603</v>
      </c>
      <c r="F14" s="119" t="s">
        <v>2</v>
      </c>
      <c r="G14" s="22" t="e">
        <f ca="1">(G12-I7)/I7*365/G9</f>
        <v>#NAME?</v>
      </c>
      <c r="H14" s="3"/>
      <c r="I14" s="53"/>
      <c r="J14" s="64"/>
      <c r="K14" s="53"/>
      <c r="L14" s="3"/>
      <c r="M14" s="45"/>
    </row>
    <row r="15" spans="1:19" ht="22.5" customHeight="1">
      <c r="A15" s="62"/>
      <c r="B15" s="103" t="s">
        <v>123</v>
      </c>
      <c r="C15" s="121">
        <f>C4</f>
        <v>1449.6</v>
      </c>
      <c r="D15" s="103" t="s">
        <v>44</v>
      </c>
      <c r="E15" s="120">
        <f>TRUNC(I7-G7-E14,0)</f>
        <v>204</v>
      </c>
      <c r="F15" s="119" t="s">
        <v>3</v>
      </c>
      <c r="G15" s="22" t="e">
        <f ca="1">G14/(1-0.154)</f>
        <v>#NAME?</v>
      </c>
      <c r="H15" s="3"/>
      <c r="I15" s="57"/>
      <c r="J15" s="65"/>
      <c r="K15" s="39"/>
      <c r="L15" s="3"/>
      <c r="M15" s="45"/>
    </row>
    <row r="16" spans="1:19" ht="20.25" customHeight="1">
      <c r="A16" s="62"/>
      <c r="B16" s="73"/>
      <c r="C16" s="24"/>
      <c r="D16" s="25"/>
      <c r="E16" s="26"/>
      <c r="F16" s="25"/>
      <c r="G16" s="25"/>
      <c r="H16" s="27"/>
      <c r="I16" s="39"/>
      <c r="J16" s="65"/>
      <c r="K16" s="39"/>
      <c r="L16" s="3"/>
      <c r="M16" s="45"/>
      <c r="S16" s="54"/>
    </row>
    <row r="17" spans="1:20" ht="20.25" customHeight="1">
      <c r="A17" s="62"/>
      <c r="B17" s="3"/>
      <c r="C17" s="23"/>
      <c r="D17" s="23"/>
      <c r="E17" s="4"/>
      <c r="F17" s="3"/>
      <c r="G17" s="3"/>
      <c r="H17" s="5"/>
      <c r="I17" s="3"/>
      <c r="J17" s="70"/>
      <c r="K17" s="45"/>
      <c r="L17" s="45"/>
      <c r="M17" s="45"/>
    </row>
    <row r="18" spans="1:20" ht="20.25" customHeight="1">
      <c r="A18" s="62"/>
      <c r="B18" s="119" t="s">
        <v>101</v>
      </c>
      <c r="C18" s="119" t="s">
        <v>99</v>
      </c>
      <c r="D18" s="119" t="s">
        <v>14</v>
      </c>
      <c r="E18" s="119" t="s">
        <v>46</v>
      </c>
      <c r="F18" s="119" t="s">
        <v>47</v>
      </c>
      <c r="G18" s="119" t="s">
        <v>15</v>
      </c>
      <c r="H18" s="119" t="str">
        <f>IF(E4="개인","농특세","농특세")</f>
        <v>농특세</v>
      </c>
      <c r="I18" s="119" t="s">
        <v>17</v>
      </c>
      <c r="J18" s="66"/>
      <c r="K18" s="25"/>
      <c r="L18" s="25"/>
      <c r="M18" s="119" t="s">
        <v>13</v>
      </c>
      <c r="O18" s="1" t="s">
        <v>48</v>
      </c>
      <c r="P18" s="1" t="s">
        <v>53</v>
      </c>
      <c r="Q18" s="1" t="s">
        <v>50</v>
      </c>
      <c r="R18" s="1" t="s">
        <v>52</v>
      </c>
      <c r="S18" s="1" t="s">
        <v>49</v>
      </c>
      <c r="T18" s="1" t="s">
        <v>51</v>
      </c>
    </row>
    <row r="19" spans="1:20" ht="20.25" customHeight="1">
      <c r="A19" s="62"/>
      <c r="B19" s="6">
        <f>COUPNCD(O12,C8,IF($C$10=O9,1,IF($C$10=O8,2,4)))</f>
        <v>46661</v>
      </c>
      <c r="C19" s="117" t="str">
        <f t="shared" ref="C19:C58" si="0">IF(B19=$C$8,$E$9,"")</f>
        <v/>
      </c>
      <c r="D19" s="131">
        <f>IF(B19="","",IF($C$13="krw",(TRUNC(($C$9*$E$9)/(IF($C$10=$O$9,1,IF($C$10=$O$8,2,4))),2)*$C$14),(TRUNC(($C$9*$E$9)/(IF($C$10=$O$9,1,IF($C$10=$O$8,2,4))),2))))</f>
        <v>25400.25</v>
      </c>
      <c r="E19" s="131">
        <f>IF(B19="","",IF($C$13="krw",(TRUNC(D19-$E$9*$C$9*$C$14*YEARFRAC($O$13,$O$12,IF(C3=N7,0,IF(C3=N8,1,IF(C3=N9,2,IF(C3=N10,3,4))))),0)),(TRUNC(D19-$E$9*$C$9*YEARFRAC($O$13,$O$12,IF(C3=N7,0,IF(C3=N8,1,IF(C3=N9,2,IF(C3=N10,3,4))))),0))))</f>
        <v>5221</v>
      </c>
      <c r="F19" s="137" t="e">
        <f ca="1">IF(E19&gt;R19,E19-R19,0)</f>
        <v>#NAME?</v>
      </c>
      <c r="G19" s="132" t="e">
        <f ca="1">ROUNDDOWN(F19*0%,-1)</f>
        <v>#NAME?</v>
      </c>
      <c r="H19" s="132" t="e">
        <f ca="1">IF($E$4="개인",F19*1.4%,F19*2.8%)</f>
        <v>#NAME?</v>
      </c>
      <c r="I19" s="131" t="e">
        <f ca="1">IF(B19="","",D19-P19-G19-H19)</f>
        <v>#NAME?</v>
      </c>
      <c r="J19" s="86"/>
      <c r="K19" s="11"/>
      <c r="L19" s="11"/>
      <c r="M19" s="6">
        <f>E7</f>
        <v>46620</v>
      </c>
      <c r="N19" s="40" t="s">
        <v>54</v>
      </c>
      <c r="O19" s="38">
        <f>G7</f>
        <v>30000</v>
      </c>
      <c r="P19" s="38" t="e">
        <f ca="1">$I$7*$G$8/365*(_xlfn.DAYS(B19,$E$7))</f>
        <v>#NAME?</v>
      </c>
      <c r="Q19" s="38" t="e">
        <f ca="1">P19</f>
        <v>#NAME?</v>
      </c>
      <c r="R19" s="38" t="e">
        <f ca="1">+O19+Q19</f>
        <v>#NAME?</v>
      </c>
      <c r="S19" s="38">
        <f t="shared" ref="S19:S58" si="1">IF(E19&lt;O19,O19-E19,0)</f>
        <v>24779</v>
      </c>
      <c r="T19" s="38" t="e">
        <f t="shared" ref="T19:T58" ca="1" si="2">IF(S19&gt;0,Q19,IF(E19&gt;R19,0,Q19-(E19-O19)))</f>
        <v>#NAME?</v>
      </c>
    </row>
    <row r="20" spans="1:20" ht="20.25" customHeight="1">
      <c r="A20" s="62"/>
      <c r="B20" s="6">
        <f t="shared" ref="B20:B58" si="3">IF(B19&lt;$C$8,COUPNCD(B19,$C$8,IF($C$10=O$9,1,IF($C$10=O$8,2,4))),"")</f>
        <v>46844</v>
      </c>
      <c r="C20" s="117" t="str">
        <f t="shared" si="0"/>
        <v/>
      </c>
      <c r="D20" s="131">
        <f t="shared" ref="D20:D58" si="4">IF(B20="","",IF($C$13="krw",(TRUNC(($C$9*$E$9)/(IF($C$10=$O$9,1,IF($C$10=$O$8,2,4))),2)*$C$14),(TRUNC(($C$9*$E$9)/(IF($C$10=$O$9,1,IF($C$10=$O$8,2,4))),2))))</f>
        <v>25400.25</v>
      </c>
      <c r="E20" s="131">
        <f>IF(B20="","",D20)</f>
        <v>25400.25</v>
      </c>
      <c r="F20" s="137" t="e">
        <f ca="1">IF(B20="","",IF(E20&gt;R20,E20-R20,0))</f>
        <v>#NAME?</v>
      </c>
      <c r="G20" s="132" t="e">
        <f t="shared" ref="G20:G83" ca="1" si="5">ROUNDDOWN(F20*0%,-1)</f>
        <v>#NAME?</v>
      </c>
      <c r="H20" s="132" t="e">
        <f t="shared" ref="H20:H83" ca="1" si="6">IF($E$4="개인",F20*1.4%,F20*2.8%)</f>
        <v>#NAME?</v>
      </c>
      <c r="I20" s="131" t="e">
        <f t="shared" ref="I20:I58" ca="1" si="7">IF(B20="","",D20-P20-G20-H20)</f>
        <v>#NAME?</v>
      </c>
      <c r="J20" s="66"/>
      <c r="K20" s="11"/>
      <c r="L20" s="11"/>
      <c r="M20" s="6">
        <f t="shared" ref="M20:M58" si="8">IF(B19&lt;$C$8,COUPNCD(M19,$C$8,IF($C$10=$O$9,1,IF($C$10=$O$8,2,4))),"")</f>
        <v>46661</v>
      </c>
      <c r="N20" s="40" t="s">
        <v>55</v>
      </c>
      <c r="O20" s="38">
        <f>S19</f>
        <v>24779</v>
      </c>
      <c r="P20" s="38" t="e">
        <f ca="1">$I$7*$G$8/365*(_xlfn.DAYS(B20,M20))</f>
        <v>#NAME?</v>
      </c>
      <c r="Q20" s="38" t="e">
        <f ca="1">+T19+P20</f>
        <v>#NAME?</v>
      </c>
      <c r="R20" s="38" t="e">
        <f ca="1">+O20+Q20</f>
        <v>#NAME?</v>
      </c>
      <c r="S20" s="38">
        <f t="shared" si="1"/>
        <v>0</v>
      </c>
      <c r="T20" s="38" t="e">
        <f t="shared" ca="1" si="2"/>
        <v>#NAME?</v>
      </c>
    </row>
    <row r="21" spans="1:20" ht="20.25" customHeight="1">
      <c r="A21" s="62"/>
      <c r="B21" s="6">
        <f t="shared" si="3"/>
        <v>47027</v>
      </c>
      <c r="C21" s="117" t="str">
        <f t="shared" si="0"/>
        <v/>
      </c>
      <c r="D21" s="131">
        <f t="shared" si="4"/>
        <v>25400.25</v>
      </c>
      <c r="E21" s="131">
        <f t="shared" ref="E21:E84" si="9">IF(B21="","",D21)</f>
        <v>25400.25</v>
      </c>
      <c r="F21" s="137" t="e">
        <f ca="1">IF(B21="","",IF(E21&gt;R21,E21-R21,0))</f>
        <v>#NAME?</v>
      </c>
      <c r="G21" s="132" t="e">
        <f t="shared" ca="1" si="5"/>
        <v>#NAME?</v>
      </c>
      <c r="H21" s="132" t="e">
        <f t="shared" ca="1" si="6"/>
        <v>#NAME?</v>
      </c>
      <c r="I21" s="131" t="e">
        <f t="shared" ca="1" si="7"/>
        <v>#NAME?</v>
      </c>
      <c r="J21" s="66"/>
      <c r="K21" s="11"/>
      <c r="L21" s="11"/>
      <c r="M21" s="6">
        <f t="shared" si="8"/>
        <v>46844</v>
      </c>
      <c r="N21" s="40" t="s">
        <v>56</v>
      </c>
      <c r="O21" s="38">
        <f>S20</f>
        <v>0</v>
      </c>
      <c r="P21" s="38" t="e">
        <f t="shared" ref="P21:P84" ca="1" si="10">$I$7*$G$8/365*(_xlfn.DAYS(B21,M21))</f>
        <v>#NAME?</v>
      </c>
      <c r="Q21" s="38" t="e">
        <f ca="1">+T20+P21</f>
        <v>#NAME?</v>
      </c>
      <c r="R21" s="38" t="e">
        <f ca="1">+O21+Q21</f>
        <v>#NAME?</v>
      </c>
      <c r="S21" s="38">
        <f t="shared" si="1"/>
        <v>0</v>
      </c>
      <c r="T21" s="38" t="e">
        <f t="shared" ca="1" si="2"/>
        <v>#NAME?</v>
      </c>
    </row>
    <row r="22" spans="1:20" ht="20.25" customHeight="1">
      <c r="A22" s="62"/>
      <c r="B22" s="6">
        <f t="shared" si="3"/>
        <v>47209</v>
      </c>
      <c r="C22" s="117" t="str">
        <f t="shared" si="0"/>
        <v/>
      </c>
      <c r="D22" s="131">
        <f t="shared" si="4"/>
        <v>25400.25</v>
      </c>
      <c r="E22" s="131">
        <f t="shared" si="9"/>
        <v>25400.25</v>
      </c>
      <c r="F22" s="137" t="e">
        <f t="shared" ref="F22:F58" ca="1" si="11">IF(B22="","",IF(E22&gt;R22,E22-R22,0))</f>
        <v>#NAME?</v>
      </c>
      <c r="G22" s="132" t="e">
        <f t="shared" ca="1" si="5"/>
        <v>#NAME?</v>
      </c>
      <c r="H22" s="132" t="e">
        <f t="shared" ca="1" si="6"/>
        <v>#NAME?</v>
      </c>
      <c r="I22" s="131" t="e">
        <f t="shared" ca="1" si="7"/>
        <v>#NAME?</v>
      </c>
      <c r="J22" s="66"/>
      <c r="K22" s="11"/>
      <c r="L22" s="11"/>
      <c r="M22" s="6">
        <f t="shared" si="8"/>
        <v>47027</v>
      </c>
      <c r="N22" s="40" t="s">
        <v>57</v>
      </c>
      <c r="O22" s="38">
        <f t="shared" ref="O22:O58" si="12">S21</f>
        <v>0</v>
      </c>
      <c r="P22" s="38" t="e">
        <f t="shared" ca="1" si="10"/>
        <v>#NAME?</v>
      </c>
      <c r="Q22" s="38" t="e">
        <f t="shared" ref="Q22:Q58" ca="1" si="13">+T21+P22</f>
        <v>#NAME?</v>
      </c>
      <c r="R22" s="38" t="e">
        <f t="shared" ref="R22:R58" ca="1" si="14">+O22+Q22</f>
        <v>#NAME?</v>
      </c>
      <c r="S22" s="38">
        <f t="shared" si="1"/>
        <v>0</v>
      </c>
      <c r="T22" s="38" t="e">
        <f t="shared" ca="1" si="2"/>
        <v>#NAME?</v>
      </c>
    </row>
    <row r="23" spans="1:20" ht="20.25" customHeight="1">
      <c r="A23" s="62"/>
      <c r="B23" s="6">
        <f t="shared" si="3"/>
        <v>47392</v>
      </c>
      <c r="C23" s="117" t="str">
        <f t="shared" si="0"/>
        <v/>
      </c>
      <c r="D23" s="131">
        <f t="shared" si="4"/>
        <v>25400.25</v>
      </c>
      <c r="E23" s="131">
        <f t="shared" si="9"/>
        <v>25400.25</v>
      </c>
      <c r="F23" s="137" t="e">
        <f t="shared" ca="1" si="11"/>
        <v>#NAME?</v>
      </c>
      <c r="G23" s="132" t="e">
        <f t="shared" ca="1" si="5"/>
        <v>#NAME?</v>
      </c>
      <c r="H23" s="132" t="e">
        <f t="shared" ca="1" si="6"/>
        <v>#NAME?</v>
      </c>
      <c r="I23" s="131" t="e">
        <f t="shared" ca="1" si="7"/>
        <v>#NAME?</v>
      </c>
      <c r="J23" s="66"/>
      <c r="K23" s="11"/>
      <c r="L23" s="11"/>
      <c r="M23" s="6">
        <f t="shared" si="8"/>
        <v>47209</v>
      </c>
      <c r="N23" s="40" t="s">
        <v>58</v>
      </c>
      <c r="O23" s="38">
        <f t="shared" si="12"/>
        <v>0</v>
      </c>
      <c r="P23" s="38" t="e">
        <f t="shared" ca="1" si="10"/>
        <v>#NAME?</v>
      </c>
      <c r="Q23" s="38" t="e">
        <f t="shared" ca="1" si="13"/>
        <v>#NAME?</v>
      </c>
      <c r="R23" s="38" t="e">
        <f t="shared" ca="1" si="14"/>
        <v>#NAME?</v>
      </c>
      <c r="S23" s="38">
        <f t="shared" si="1"/>
        <v>0</v>
      </c>
      <c r="T23" s="38" t="e">
        <f t="shared" ca="1" si="2"/>
        <v>#NAME?</v>
      </c>
    </row>
    <row r="24" spans="1:20" ht="20.25" customHeight="1">
      <c r="A24" s="62"/>
      <c r="B24" s="6">
        <f t="shared" si="3"/>
        <v>47574</v>
      </c>
      <c r="C24" s="117" t="str">
        <f t="shared" si="0"/>
        <v/>
      </c>
      <c r="D24" s="131">
        <f t="shared" si="4"/>
        <v>25400.25</v>
      </c>
      <c r="E24" s="131">
        <f t="shared" si="9"/>
        <v>25400.25</v>
      </c>
      <c r="F24" s="137" t="e">
        <f t="shared" ca="1" si="11"/>
        <v>#NAME?</v>
      </c>
      <c r="G24" s="132" t="e">
        <f t="shared" ca="1" si="5"/>
        <v>#NAME?</v>
      </c>
      <c r="H24" s="132" t="e">
        <f t="shared" ca="1" si="6"/>
        <v>#NAME?</v>
      </c>
      <c r="I24" s="126" t="e">
        <f t="shared" ca="1" si="7"/>
        <v>#NAME?</v>
      </c>
      <c r="J24" s="66"/>
      <c r="K24" s="11"/>
      <c r="L24" s="11"/>
      <c r="M24" s="6">
        <f t="shared" si="8"/>
        <v>47392</v>
      </c>
      <c r="N24" s="40" t="s">
        <v>59</v>
      </c>
      <c r="O24" s="38">
        <f t="shared" si="12"/>
        <v>0</v>
      </c>
      <c r="P24" s="38" t="e">
        <f t="shared" ca="1" si="10"/>
        <v>#NAME?</v>
      </c>
      <c r="Q24" s="38" t="e">
        <f t="shared" ca="1" si="13"/>
        <v>#NAME?</v>
      </c>
      <c r="R24" s="38" t="e">
        <f t="shared" ca="1" si="14"/>
        <v>#NAME?</v>
      </c>
      <c r="S24" s="38">
        <f t="shared" si="1"/>
        <v>0</v>
      </c>
      <c r="T24" s="38" t="e">
        <f t="shared" ca="1" si="2"/>
        <v>#NAME?</v>
      </c>
    </row>
    <row r="25" spans="1:20" ht="20.25" customHeight="1">
      <c r="A25" s="62"/>
      <c r="B25" s="6">
        <f t="shared" si="3"/>
        <v>47757</v>
      </c>
      <c r="C25" s="117" t="str">
        <f t="shared" si="0"/>
        <v/>
      </c>
      <c r="D25" s="131">
        <f t="shared" si="4"/>
        <v>25400.25</v>
      </c>
      <c r="E25" s="131">
        <f t="shared" si="9"/>
        <v>25400.25</v>
      </c>
      <c r="F25" s="137" t="e">
        <f t="shared" ca="1" si="11"/>
        <v>#NAME?</v>
      </c>
      <c r="G25" s="132" t="e">
        <f t="shared" ca="1" si="5"/>
        <v>#NAME?</v>
      </c>
      <c r="H25" s="132" t="e">
        <f t="shared" ca="1" si="6"/>
        <v>#NAME?</v>
      </c>
      <c r="I25" s="126" t="e">
        <f t="shared" ca="1" si="7"/>
        <v>#NAME?</v>
      </c>
      <c r="J25" s="66"/>
      <c r="K25" s="11"/>
      <c r="L25" s="11"/>
      <c r="M25" s="6">
        <f t="shared" si="8"/>
        <v>47574</v>
      </c>
      <c r="N25" s="40" t="s">
        <v>60</v>
      </c>
      <c r="O25" s="38">
        <f t="shared" si="12"/>
        <v>0</v>
      </c>
      <c r="P25" s="38" t="e">
        <f t="shared" ca="1" si="10"/>
        <v>#NAME?</v>
      </c>
      <c r="Q25" s="38" t="e">
        <f t="shared" ca="1" si="13"/>
        <v>#NAME?</v>
      </c>
      <c r="R25" s="38" t="e">
        <f t="shared" ca="1" si="14"/>
        <v>#NAME?</v>
      </c>
      <c r="S25" s="38">
        <f t="shared" si="1"/>
        <v>0</v>
      </c>
      <c r="T25" s="38" t="e">
        <f t="shared" ca="1" si="2"/>
        <v>#NAME?</v>
      </c>
    </row>
    <row r="26" spans="1:20" ht="20.25" customHeight="1">
      <c r="A26" s="62"/>
      <c r="B26" s="6">
        <f t="shared" si="3"/>
        <v>47939</v>
      </c>
      <c r="C26" s="117" t="str">
        <f t="shared" si="0"/>
        <v/>
      </c>
      <c r="D26" s="131">
        <f t="shared" si="4"/>
        <v>25400.25</v>
      </c>
      <c r="E26" s="131">
        <f t="shared" si="9"/>
        <v>25400.25</v>
      </c>
      <c r="F26" s="138" t="e">
        <f t="shared" ca="1" si="11"/>
        <v>#NAME?</v>
      </c>
      <c r="G26" s="132" t="e">
        <f t="shared" ca="1" si="5"/>
        <v>#NAME?</v>
      </c>
      <c r="H26" s="132" t="e">
        <f t="shared" ca="1" si="6"/>
        <v>#NAME?</v>
      </c>
      <c r="I26" s="9" t="e">
        <f t="shared" ca="1" si="7"/>
        <v>#NAME?</v>
      </c>
      <c r="J26" s="66"/>
      <c r="K26" s="11"/>
      <c r="L26" s="11"/>
      <c r="M26" s="6">
        <f t="shared" si="8"/>
        <v>47757</v>
      </c>
      <c r="N26" s="40" t="s">
        <v>61</v>
      </c>
      <c r="O26" s="38">
        <f t="shared" si="12"/>
        <v>0</v>
      </c>
      <c r="P26" s="38" t="e">
        <f t="shared" ca="1" si="10"/>
        <v>#NAME?</v>
      </c>
      <c r="Q26" s="38" t="e">
        <f t="shared" ca="1" si="13"/>
        <v>#NAME?</v>
      </c>
      <c r="R26" s="38" t="e">
        <f t="shared" ca="1" si="14"/>
        <v>#NAME?</v>
      </c>
      <c r="S26" s="38">
        <f t="shared" si="1"/>
        <v>0</v>
      </c>
      <c r="T26" s="38" t="e">
        <f t="shared" ca="1" si="2"/>
        <v>#NAME?</v>
      </c>
    </row>
    <row r="27" spans="1:20" ht="20.25" customHeight="1">
      <c r="A27" s="62"/>
      <c r="B27" s="6">
        <f t="shared" si="3"/>
        <v>48122</v>
      </c>
      <c r="C27" s="117" t="str">
        <f t="shared" si="0"/>
        <v/>
      </c>
      <c r="D27" s="131">
        <f t="shared" si="4"/>
        <v>25400.25</v>
      </c>
      <c r="E27" s="131">
        <f t="shared" si="9"/>
        <v>25400.25</v>
      </c>
      <c r="F27" s="138" t="e">
        <f t="shared" ca="1" si="11"/>
        <v>#NAME?</v>
      </c>
      <c r="G27" s="132" t="e">
        <f t="shared" ca="1" si="5"/>
        <v>#NAME?</v>
      </c>
      <c r="H27" s="132" t="e">
        <f t="shared" ca="1" si="6"/>
        <v>#NAME?</v>
      </c>
      <c r="I27" s="9" t="e">
        <f t="shared" ca="1" si="7"/>
        <v>#NAME?</v>
      </c>
      <c r="J27" s="66"/>
      <c r="K27" s="11"/>
      <c r="L27" s="11"/>
      <c r="M27" s="6">
        <f t="shared" si="8"/>
        <v>47939</v>
      </c>
      <c r="N27" s="40" t="s">
        <v>62</v>
      </c>
      <c r="O27" s="38">
        <f t="shared" si="12"/>
        <v>0</v>
      </c>
      <c r="P27" s="38" t="e">
        <f t="shared" ca="1" si="10"/>
        <v>#NAME?</v>
      </c>
      <c r="Q27" s="38" t="e">
        <f t="shared" ca="1" si="13"/>
        <v>#NAME?</v>
      </c>
      <c r="R27" s="38" t="e">
        <f t="shared" ca="1" si="14"/>
        <v>#NAME?</v>
      </c>
      <c r="S27" s="38">
        <f t="shared" si="1"/>
        <v>0</v>
      </c>
      <c r="T27" s="38" t="e">
        <f t="shared" ca="1" si="2"/>
        <v>#NAME?</v>
      </c>
    </row>
    <row r="28" spans="1:20" ht="20.25" customHeight="1">
      <c r="A28" s="62"/>
      <c r="B28" s="6">
        <f t="shared" si="3"/>
        <v>48305</v>
      </c>
      <c r="C28" s="117" t="str">
        <f t="shared" si="0"/>
        <v/>
      </c>
      <c r="D28" s="131">
        <f t="shared" si="4"/>
        <v>25400.25</v>
      </c>
      <c r="E28" s="131">
        <f t="shared" si="9"/>
        <v>25400.25</v>
      </c>
      <c r="F28" s="138" t="e">
        <f t="shared" ca="1" si="11"/>
        <v>#NAME?</v>
      </c>
      <c r="G28" s="132" t="e">
        <f t="shared" ca="1" si="5"/>
        <v>#NAME?</v>
      </c>
      <c r="H28" s="132" t="e">
        <f t="shared" ca="1" si="6"/>
        <v>#NAME?</v>
      </c>
      <c r="I28" s="9" t="e">
        <f t="shared" ca="1" si="7"/>
        <v>#NAME?</v>
      </c>
      <c r="J28" s="66"/>
      <c r="K28" s="11"/>
      <c r="L28" s="11"/>
      <c r="M28" s="6">
        <f t="shared" si="8"/>
        <v>48122</v>
      </c>
      <c r="N28" s="40" t="s">
        <v>63</v>
      </c>
      <c r="O28" s="38">
        <f t="shared" si="12"/>
        <v>0</v>
      </c>
      <c r="P28" s="38" t="e">
        <f t="shared" ca="1" si="10"/>
        <v>#NAME?</v>
      </c>
      <c r="Q28" s="38" t="e">
        <f t="shared" ca="1" si="13"/>
        <v>#NAME?</v>
      </c>
      <c r="R28" s="38" t="e">
        <f t="shared" ca="1" si="14"/>
        <v>#NAME?</v>
      </c>
      <c r="S28" s="38">
        <f t="shared" si="1"/>
        <v>0</v>
      </c>
      <c r="T28" s="38" t="e">
        <f t="shared" ca="1" si="2"/>
        <v>#NAME?</v>
      </c>
    </row>
    <row r="29" spans="1:20" ht="20.25" customHeight="1">
      <c r="A29" s="62"/>
      <c r="B29" s="6">
        <f t="shared" si="3"/>
        <v>48488</v>
      </c>
      <c r="C29" s="117" t="str">
        <f t="shared" si="0"/>
        <v/>
      </c>
      <c r="D29" s="131">
        <f t="shared" si="4"/>
        <v>25400.25</v>
      </c>
      <c r="E29" s="131">
        <f t="shared" si="9"/>
        <v>25400.25</v>
      </c>
      <c r="F29" s="138" t="e">
        <f t="shared" ca="1" si="11"/>
        <v>#NAME?</v>
      </c>
      <c r="G29" s="132" t="e">
        <f t="shared" ca="1" si="5"/>
        <v>#NAME?</v>
      </c>
      <c r="H29" s="132" t="e">
        <f t="shared" ca="1" si="6"/>
        <v>#NAME?</v>
      </c>
      <c r="I29" s="9" t="e">
        <f t="shared" ca="1" si="7"/>
        <v>#NAME?</v>
      </c>
      <c r="J29" s="66"/>
      <c r="K29" s="11"/>
      <c r="L29" s="11"/>
      <c r="M29" s="6">
        <f t="shared" si="8"/>
        <v>48305</v>
      </c>
      <c r="N29" s="40" t="s">
        <v>64</v>
      </c>
      <c r="O29" s="38">
        <f t="shared" si="12"/>
        <v>0</v>
      </c>
      <c r="P29" s="38" t="e">
        <f t="shared" ca="1" si="10"/>
        <v>#NAME?</v>
      </c>
      <c r="Q29" s="38" t="e">
        <f t="shared" ca="1" si="13"/>
        <v>#NAME?</v>
      </c>
      <c r="R29" s="38" t="e">
        <f t="shared" ca="1" si="14"/>
        <v>#NAME?</v>
      </c>
      <c r="S29" s="38">
        <f t="shared" si="1"/>
        <v>0</v>
      </c>
      <c r="T29" s="38" t="e">
        <f t="shared" ca="1" si="2"/>
        <v>#NAME?</v>
      </c>
    </row>
    <row r="30" spans="1:20" ht="20.25" customHeight="1">
      <c r="A30" s="62"/>
      <c r="B30" s="6">
        <f t="shared" si="3"/>
        <v>48670</v>
      </c>
      <c r="C30" s="117" t="str">
        <f t="shared" si="0"/>
        <v/>
      </c>
      <c r="D30" s="131">
        <f t="shared" si="4"/>
        <v>25400.25</v>
      </c>
      <c r="E30" s="131">
        <f t="shared" si="9"/>
        <v>25400.25</v>
      </c>
      <c r="F30" s="138" t="e">
        <f t="shared" ca="1" si="11"/>
        <v>#NAME?</v>
      </c>
      <c r="G30" s="132" t="e">
        <f t="shared" ca="1" si="5"/>
        <v>#NAME?</v>
      </c>
      <c r="H30" s="132" t="e">
        <f t="shared" ca="1" si="6"/>
        <v>#NAME?</v>
      </c>
      <c r="I30" s="9" t="e">
        <f t="shared" ca="1" si="7"/>
        <v>#NAME?</v>
      </c>
      <c r="J30" s="66"/>
      <c r="K30" s="11"/>
      <c r="L30" s="11"/>
      <c r="M30" s="6">
        <f t="shared" si="8"/>
        <v>48488</v>
      </c>
      <c r="N30" s="40" t="s">
        <v>65</v>
      </c>
      <c r="O30" s="38">
        <f t="shared" si="12"/>
        <v>0</v>
      </c>
      <c r="P30" s="38" t="e">
        <f t="shared" ca="1" si="10"/>
        <v>#NAME?</v>
      </c>
      <c r="Q30" s="38" t="e">
        <f t="shared" ca="1" si="13"/>
        <v>#NAME?</v>
      </c>
      <c r="R30" s="38" t="e">
        <f t="shared" ca="1" si="14"/>
        <v>#NAME?</v>
      </c>
      <c r="S30" s="38">
        <f t="shared" si="1"/>
        <v>0</v>
      </c>
      <c r="T30" s="38" t="e">
        <f t="shared" ca="1" si="2"/>
        <v>#NAME?</v>
      </c>
    </row>
    <row r="31" spans="1:20" ht="20.25" customHeight="1">
      <c r="A31" s="62"/>
      <c r="B31" s="6">
        <f t="shared" si="3"/>
        <v>48853</v>
      </c>
      <c r="C31" s="117" t="str">
        <f t="shared" si="0"/>
        <v/>
      </c>
      <c r="D31" s="131">
        <f t="shared" si="4"/>
        <v>25400.25</v>
      </c>
      <c r="E31" s="131">
        <f t="shared" si="9"/>
        <v>25400.25</v>
      </c>
      <c r="F31" s="138" t="e">
        <f t="shared" ca="1" si="11"/>
        <v>#NAME?</v>
      </c>
      <c r="G31" s="132" t="e">
        <f t="shared" ca="1" si="5"/>
        <v>#NAME?</v>
      </c>
      <c r="H31" s="132" t="e">
        <f t="shared" ca="1" si="6"/>
        <v>#NAME?</v>
      </c>
      <c r="I31" s="9" t="e">
        <f t="shared" ca="1" si="7"/>
        <v>#NAME?</v>
      </c>
      <c r="J31" s="66"/>
      <c r="K31" s="11"/>
      <c r="L31" s="11"/>
      <c r="M31" s="6">
        <f t="shared" si="8"/>
        <v>48670</v>
      </c>
      <c r="N31" s="40" t="s">
        <v>66</v>
      </c>
      <c r="O31" s="38">
        <f t="shared" si="12"/>
        <v>0</v>
      </c>
      <c r="P31" s="38" t="e">
        <f t="shared" ca="1" si="10"/>
        <v>#NAME?</v>
      </c>
      <c r="Q31" s="38" t="e">
        <f t="shared" ca="1" si="13"/>
        <v>#NAME?</v>
      </c>
      <c r="R31" s="38" t="e">
        <f t="shared" ca="1" si="14"/>
        <v>#NAME?</v>
      </c>
      <c r="S31" s="38">
        <f t="shared" si="1"/>
        <v>0</v>
      </c>
      <c r="T31" s="38" t="e">
        <f t="shared" ca="1" si="2"/>
        <v>#NAME?</v>
      </c>
    </row>
    <row r="32" spans="1:20" ht="20.25" customHeight="1">
      <c r="A32" s="62"/>
      <c r="B32" s="6">
        <f t="shared" si="3"/>
        <v>49035</v>
      </c>
      <c r="C32" s="117" t="str">
        <f t="shared" si="0"/>
        <v/>
      </c>
      <c r="D32" s="131">
        <f t="shared" si="4"/>
        <v>25400.25</v>
      </c>
      <c r="E32" s="131">
        <f t="shared" si="9"/>
        <v>25400.25</v>
      </c>
      <c r="F32" s="138" t="e">
        <f t="shared" ca="1" si="11"/>
        <v>#NAME?</v>
      </c>
      <c r="G32" s="132" t="e">
        <f t="shared" ca="1" si="5"/>
        <v>#NAME?</v>
      </c>
      <c r="H32" s="132" t="e">
        <f t="shared" ca="1" si="6"/>
        <v>#NAME?</v>
      </c>
      <c r="I32" s="9" t="e">
        <f t="shared" ca="1" si="7"/>
        <v>#NAME?</v>
      </c>
      <c r="J32" s="66"/>
      <c r="K32" s="11"/>
      <c r="L32" s="11"/>
      <c r="M32" s="6">
        <f t="shared" si="8"/>
        <v>48853</v>
      </c>
      <c r="N32" s="40" t="s">
        <v>67</v>
      </c>
      <c r="O32" s="38">
        <f t="shared" si="12"/>
        <v>0</v>
      </c>
      <c r="P32" s="38" t="e">
        <f t="shared" ca="1" si="10"/>
        <v>#NAME?</v>
      </c>
      <c r="Q32" s="38" t="e">
        <f t="shared" ca="1" si="13"/>
        <v>#NAME?</v>
      </c>
      <c r="R32" s="38" t="e">
        <f t="shared" ca="1" si="14"/>
        <v>#NAME?</v>
      </c>
      <c r="S32" s="38">
        <f t="shared" si="1"/>
        <v>0</v>
      </c>
      <c r="T32" s="38" t="e">
        <f t="shared" ca="1" si="2"/>
        <v>#NAME?</v>
      </c>
    </row>
    <row r="33" spans="1:20" ht="20.25" customHeight="1">
      <c r="A33" s="62"/>
      <c r="B33" s="6">
        <f t="shared" si="3"/>
        <v>49218</v>
      </c>
      <c r="C33" s="117" t="str">
        <f t="shared" si="0"/>
        <v/>
      </c>
      <c r="D33" s="131">
        <f t="shared" si="4"/>
        <v>25400.25</v>
      </c>
      <c r="E33" s="131">
        <f t="shared" si="9"/>
        <v>25400.25</v>
      </c>
      <c r="F33" s="138" t="e">
        <f t="shared" ca="1" si="11"/>
        <v>#NAME?</v>
      </c>
      <c r="G33" s="132" t="e">
        <f t="shared" ca="1" si="5"/>
        <v>#NAME?</v>
      </c>
      <c r="H33" s="132" t="e">
        <f t="shared" ca="1" si="6"/>
        <v>#NAME?</v>
      </c>
      <c r="I33" s="9" t="e">
        <f t="shared" ca="1" si="7"/>
        <v>#NAME?</v>
      </c>
      <c r="J33" s="66"/>
      <c r="K33" s="11"/>
      <c r="L33" s="11"/>
      <c r="M33" s="6">
        <f t="shared" si="8"/>
        <v>49035</v>
      </c>
      <c r="N33" s="40" t="s">
        <v>68</v>
      </c>
      <c r="O33" s="38">
        <f t="shared" si="12"/>
        <v>0</v>
      </c>
      <c r="P33" s="38" t="e">
        <f t="shared" ca="1" si="10"/>
        <v>#NAME?</v>
      </c>
      <c r="Q33" s="38" t="e">
        <f t="shared" ca="1" si="13"/>
        <v>#NAME?</v>
      </c>
      <c r="R33" s="38" t="e">
        <f t="shared" ca="1" si="14"/>
        <v>#NAME?</v>
      </c>
      <c r="S33" s="38">
        <f t="shared" si="1"/>
        <v>0</v>
      </c>
      <c r="T33" s="38" t="e">
        <f t="shared" ca="1" si="2"/>
        <v>#NAME?</v>
      </c>
    </row>
    <row r="34" spans="1:20" ht="20.25" customHeight="1">
      <c r="A34" s="62"/>
      <c r="B34" s="6">
        <f t="shared" si="3"/>
        <v>49400</v>
      </c>
      <c r="C34" s="117" t="str">
        <f t="shared" si="0"/>
        <v/>
      </c>
      <c r="D34" s="131">
        <f t="shared" si="4"/>
        <v>25400.25</v>
      </c>
      <c r="E34" s="131">
        <f t="shared" si="9"/>
        <v>25400.25</v>
      </c>
      <c r="F34" s="138" t="e">
        <f t="shared" ca="1" si="11"/>
        <v>#NAME?</v>
      </c>
      <c r="G34" s="132" t="e">
        <f t="shared" ca="1" si="5"/>
        <v>#NAME?</v>
      </c>
      <c r="H34" s="132" t="e">
        <f t="shared" ca="1" si="6"/>
        <v>#NAME?</v>
      </c>
      <c r="I34" s="9" t="e">
        <f t="shared" ca="1" si="7"/>
        <v>#NAME?</v>
      </c>
      <c r="J34" s="66"/>
      <c r="K34" s="11"/>
      <c r="L34" s="11"/>
      <c r="M34" s="6">
        <f t="shared" si="8"/>
        <v>49218</v>
      </c>
      <c r="N34" s="40" t="s">
        <v>69</v>
      </c>
      <c r="O34" s="38">
        <f t="shared" si="12"/>
        <v>0</v>
      </c>
      <c r="P34" s="38" t="e">
        <f t="shared" ca="1" si="10"/>
        <v>#NAME?</v>
      </c>
      <c r="Q34" s="38" t="e">
        <f t="shared" ca="1" si="13"/>
        <v>#NAME?</v>
      </c>
      <c r="R34" s="38" t="e">
        <f t="shared" ca="1" si="14"/>
        <v>#NAME?</v>
      </c>
      <c r="S34" s="38">
        <f t="shared" si="1"/>
        <v>0</v>
      </c>
      <c r="T34" s="38" t="e">
        <f t="shared" ca="1" si="2"/>
        <v>#NAME?</v>
      </c>
    </row>
    <row r="35" spans="1:20" ht="20.25" customHeight="1">
      <c r="A35" s="62"/>
      <c r="B35" s="6">
        <f t="shared" si="3"/>
        <v>49583</v>
      </c>
      <c r="C35" s="117" t="str">
        <f t="shared" si="0"/>
        <v/>
      </c>
      <c r="D35" s="131">
        <f t="shared" si="4"/>
        <v>25400.25</v>
      </c>
      <c r="E35" s="131">
        <f t="shared" si="9"/>
        <v>25400.25</v>
      </c>
      <c r="F35" s="138" t="e">
        <f t="shared" ca="1" si="11"/>
        <v>#NAME?</v>
      </c>
      <c r="G35" s="132" t="e">
        <f t="shared" ca="1" si="5"/>
        <v>#NAME?</v>
      </c>
      <c r="H35" s="132" t="e">
        <f t="shared" ca="1" si="6"/>
        <v>#NAME?</v>
      </c>
      <c r="I35" s="9" t="e">
        <f t="shared" ca="1" si="7"/>
        <v>#NAME?</v>
      </c>
      <c r="J35" s="66"/>
      <c r="K35" s="11"/>
      <c r="L35" s="11"/>
      <c r="M35" s="6">
        <f t="shared" si="8"/>
        <v>49400</v>
      </c>
      <c r="N35" s="40" t="s">
        <v>70</v>
      </c>
      <c r="O35" s="38">
        <f t="shared" si="12"/>
        <v>0</v>
      </c>
      <c r="P35" s="38" t="e">
        <f t="shared" ca="1" si="10"/>
        <v>#NAME?</v>
      </c>
      <c r="Q35" s="38" t="e">
        <f t="shared" ca="1" si="13"/>
        <v>#NAME?</v>
      </c>
      <c r="R35" s="38" t="e">
        <f t="shared" ca="1" si="14"/>
        <v>#NAME?</v>
      </c>
      <c r="S35" s="38">
        <f t="shared" si="1"/>
        <v>0</v>
      </c>
      <c r="T35" s="38" t="e">
        <f t="shared" ca="1" si="2"/>
        <v>#NAME?</v>
      </c>
    </row>
    <row r="36" spans="1:20" ht="20.25" customHeight="1">
      <c r="A36" s="62"/>
      <c r="B36" s="6">
        <f t="shared" si="3"/>
        <v>49766</v>
      </c>
      <c r="C36" s="117" t="str">
        <f t="shared" si="0"/>
        <v/>
      </c>
      <c r="D36" s="131">
        <f t="shared" si="4"/>
        <v>25400.25</v>
      </c>
      <c r="E36" s="131">
        <f t="shared" si="9"/>
        <v>25400.25</v>
      </c>
      <c r="F36" s="138" t="e">
        <f t="shared" ca="1" si="11"/>
        <v>#NAME?</v>
      </c>
      <c r="G36" s="132" t="e">
        <f t="shared" ca="1" si="5"/>
        <v>#NAME?</v>
      </c>
      <c r="H36" s="132" t="e">
        <f t="shared" ca="1" si="6"/>
        <v>#NAME?</v>
      </c>
      <c r="I36" s="9" t="e">
        <f t="shared" ca="1" si="7"/>
        <v>#NAME?</v>
      </c>
      <c r="J36" s="66"/>
      <c r="K36" s="11"/>
      <c r="L36" s="11"/>
      <c r="M36" s="6">
        <f t="shared" si="8"/>
        <v>49583</v>
      </c>
      <c r="N36" s="40" t="s">
        <v>71</v>
      </c>
      <c r="O36" s="38">
        <f t="shared" si="12"/>
        <v>0</v>
      </c>
      <c r="P36" s="38" t="e">
        <f t="shared" ca="1" si="10"/>
        <v>#NAME?</v>
      </c>
      <c r="Q36" s="38" t="e">
        <f t="shared" ca="1" si="13"/>
        <v>#NAME?</v>
      </c>
      <c r="R36" s="38" t="e">
        <f t="shared" ca="1" si="14"/>
        <v>#NAME?</v>
      </c>
      <c r="S36" s="38">
        <f t="shared" si="1"/>
        <v>0</v>
      </c>
      <c r="T36" s="38" t="e">
        <f t="shared" ca="1" si="2"/>
        <v>#NAME?</v>
      </c>
    </row>
    <row r="37" spans="1:20" ht="20.25" customHeight="1">
      <c r="A37" s="62"/>
      <c r="B37" s="6">
        <f t="shared" si="3"/>
        <v>49949</v>
      </c>
      <c r="C37" s="117" t="str">
        <f t="shared" si="0"/>
        <v/>
      </c>
      <c r="D37" s="131">
        <f t="shared" si="4"/>
        <v>25400.25</v>
      </c>
      <c r="E37" s="131">
        <f t="shared" si="9"/>
        <v>25400.25</v>
      </c>
      <c r="F37" s="138" t="e">
        <f t="shared" ca="1" si="11"/>
        <v>#NAME?</v>
      </c>
      <c r="G37" s="132" t="e">
        <f t="shared" ca="1" si="5"/>
        <v>#NAME?</v>
      </c>
      <c r="H37" s="132" t="e">
        <f t="shared" ca="1" si="6"/>
        <v>#NAME?</v>
      </c>
      <c r="I37" s="9" t="e">
        <f t="shared" ca="1" si="7"/>
        <v>#NAME?</v>
      </c>
      <c r="J37" s="66"/>
      <c r="K37" s="11"/>
      <c r="L37" s="11"/>
      <c r="M37" s="6">
        <f t="shared" si="8"/>
        <v>49766</v>
      </c>
      <c r="N37" s="40" t="s">
        <v>72</v>
      </c>
      <c r="O37" s="38">
        <f t="shared" si="12"/>
        <v>0</v>
      </c>
      <c r="P37" s="38" t="e">
        <f t="shared" ca="1" si="10"/>
        <v>#NAME?</v>
      </c>
      <c r="Q37" s="38" t="e">
        <f t="shared" ca="1" si="13"/>
        <v>#NAME?</v>
      </c>
      <c r="R37" s="38" t="e">
        <f t="shared" ca="1" si="14"/>
        <v>#NAME?</v>
      </c>
      <c r="S37" s="38">
        <f t="shared" si="1"/>
        <v>0</v>
      </c>
      <c r="T37" s="38" t="e">
        <f t="shared" ca="1" si="2"/>
        <v>#NAME?</v>
      </c>
    </row>
    <row r="38" spans="1:20" ht="20.25" customHeight="1">
      <c r="A38" s="62"/>
      <c r="B38" s="6">
        <f t="shared" si="3"/>
        <v>50131</v>
      </c>
      <c r="C38" s="117" t="str">
        <f t="shared" si="0"/>
        <v/>
      </c>
      <c r="D38" s="131">
        <f t="shared" si="4"/>
        <v>25400.25</v>
      </c>
      <c r="E38" s="131">
        <f t="shared" si="9"/>
        <v>25400.25</v>
      </c>
      <c r="F38" s="138" t="e">
        <f t="shared" ca="1" si="11"/>
        <v>#NAME?</v>
      </c>
      <c r="G38" s="132" t="e">
        <f t="shared" ca="1" si="5"/>
        <v>#NAME?</v>
      </c>
      <c r="H38" s="132" t="e">
        <f t="shared" ca="1" si="6"/>
        <v>#NAME?</v>
      </c>
      <c r="I38" s="9" t="e">
        <f t="shared" ca="1" si="7"/>
        <v>#NAME?</v>
      </c>
      <c r="J38" s="66"/>
      <c r="K38" s="11"/>
      <c r="L38" s="11"/>
      <c r="M38" s="6">
        <f t="shared" si="8"/>
        <v>49949</v>
      </c>
      <c r="N38" s="40" t="s">
        <v>73</v>
      </c>
      <c r="O38" s="38">
        <f t="shared" si="12"/>
        <v>0</v>
      </c>
      <c r="P38" s="38" t="e">
        <f t="shared" ca="1" si="10"/>
        <v>#NAME?</v>
      </c>
      <c r="Q38" s="38" t="e">
        <f t="shared" ca="1" si="13"/>
        <v>#NAME?</v>
      </c>
      <c r="R38" s="38" t="e">
        <f t="shared" ca="1" si="14"/>
        <v>#NAME?</v>
      </c>
      <c r="S38" s="38">
        <f t="shared" si="1"/>
        <v>0</v>
      </c>
      <c r="T38" s="38" t="e">
        <f t="shared" ca="1" si="2"/>
        <v>#NAME?</v>
      </c>
    </row>
    <row r="39" spans="1:20" ht="20.25" customHeight="1">
      <c r="A39" s="62"/>
      <c r="B39" s="6">
        <f t="shared" si="3"/>
        <v>50314</v>
      </c>
      <c r="C39" s="117" t="str">
        <f t="shared" si="0"/>
        <v/>
      </c>
      <c r="D39" s="131">
        <f t="shared" si="4"/>
        <v>25400.25</v>
      </c>
      <c r="E39" s="131">
        <f t="shared" si="9"/>
        <v>25400.25</v>
      </c>
      <c r="F39" s="138" t="e">
        <f t="shared" ca="1" si="11"/>
        <v>#NAME?</v>
      </c>
      <c r="G39" s="132" t="e">
        <f t="shared" ca="1" si="5"/>
        <v>#NAME?</v>
      </c>
      <c r="H39" s="132" t="e">
        <f t="shared" ca="1" si="6"/>
        <v>#NAME?</v>
      </c>
      <c r="I39" s="9" t="e">
        <f t="shared" ca="1" si="7"/>
        <v>#NAME?</v>
      </c>
      <c r="J39" s="66"/>
      <c r="K39" s="11"/>
      <c r="L39" s="11"/>
      <c r="M39" s="6">
        <f t="shared" si="8"/>
        <v>50131</v>
      </c>
      <c r="N39" s="40" t="s">
        <v>74</v>
      </c>
      <c r="O39" s="38">
        <f t="shared" si="12"/>
        <v>0</v>
      </c>
      <c r="P39" s="38" t="e">
        <f t="shared" ca="1" si="10"/>
        <v>#NAME?</v>
      </c>
      <c r="Q39" s="38" t="e">
        <f t="shared" ca="1" si="13"/>
        <v>#NAME?</v>
      </c>
      <c r="R39" s="38" t="e">
        <f t="shared" ca="1" si="14"/>
        <v>#NAME?</v>
      </c>
      <c r="S39" s="38">
        <f t="shared" si="1"/>
        <v>0</v>
      </c>
      <c r="T39" s="38" t="e">
        <f t="shared" ca="1" si="2"/>
        <v>#NAME?</v>
      </c>
    </row>
    <row r="40" spans="1:20" ht="20.25" customHeight="1">
      <c r="A40" s="62"/>
      <c r="B40" s="6">
        <f t="shared" si="3"/>
        <v>50496</v>
      </c>
      <c r="C40" s="117" t="str">
        <f t="shared" si="0"/>
        <v/>
      </c>
      <c r="D40" s="131">
        <f t="shared" si="4"/>
        <v>25400.25</v>
      </c>
      <c r="E40" s="131">
        <f t="shared" si="9"/>
        <v>25400.25</v>
      </c>
      <c r="F40" s="138" t="e">
        <f t="shared" ca="1" si="11"/>
        <v>#NAME?</v>
      </c>
      <c r="G40" s="132" t="e">
        <f t="shared" ca="1" si="5"/>
        <v>#NAME?</v>
      </c>
      <c r="H40" s="132" t="e">
        <f t="shared" ca="1" si="6"/>
        <v>#NAME?</v>
      </c>
      <c r="I40" s="9" t="e">
        <f t="shared" ca="1" si="7"/>
        <v>#NAME?</v>
      </c>
      <c r="J40" s="66"/>
      <c r="K40" s="11"/>
      <c r="L40" s="11"/>
      <c r="M40" s="6">
        <f t="shared" si="8"/>
        <v>50314</v>
      </c>
      <c r="N40" s="40" t="s">
        <v>75</v>
      </c>
      <c r="O40" s="38">
        <f t="shared" si="12"/>
        <v>0</v>
      </c>
      <c r="P40" s="38" t="e">
        <f t="shared" ca="1" si="10"/>
        <v>#NAME?</v>
      </c>
      <c r="Q40" s="38" t="e">
        <f t="shared" ca="1" si="13"/>
        <v>#NAME?</v>
      </c>
      <c r="R40" s="38" t="e">
        <f t="shared" ca="1" si="14"/>
        <v>#NAME?</v>
      </c>
      <c r="S40" s="38">
        <f t="shared" si="1"/>
        <v>0</v>
      </c>
      <c r="T40" s="38" t="e">
        <f t="shared" ca="1" si="2"/>
        <v>#NAME?</v>
      </c>
    </row>
    <row r="41" spans="1:20" ht="20.25" customHeight="1">
      <c r="A41" s="62"/>
      <c r="B41" s="6">
        <f t="shared" si="3"/>
        <v>50679</v>
      </c>
      <c r="C41" s="117" t="str">
        <f t="shared" si="0"/>
        <v/>
      </c>
      <c r="D41" s="131">
        <f t="shared" si="4"/>
        <v>25400.25</v>
      </c>
      <c r="E41" s="131">
        <f t="shared" si="9"/>
        <v>25400.25</v>
      </c>
      <c r="F41" s="138" t="e">
        <f t="shared" ca="1" si="11"/>
        <v>#NAME?</v>
      </c>
      <c r="G41" s="132" t="e">
        <f t="shared" ca="1" si="5"/>
        <v>#NAME?</v>
      </c>
      <c r="H41" s="132" t="e">
        <f t="shared" ca="1" si="6"/>
        <v>#NAME?</v>
      </c>
      <c r="I41" s="9" t="e">
        <f t="shared" ca="1" si="7"/>
        <v>#NAME?</v>
      </c>
      <c r="J41" s="66"/>
      <c r="K41" s="11"/>
      <c r="L41" s="11"/>
      <c r="M41" s="6">
        <f t="shared" si="8"/>
        <v>50496</v>
      </c>
      <c r="N41" s="40" t="s">
        <v>76</v>
      </c>
      <c r="O41" s="38">
        <f t="shared" si="12"/>
        <v>0</v>
      </c>
      <c r="P41" s="38" t="e">
        <f t="shared" ca="1" si="10"/>
        <v>#NAME?</v>
      </c>
      <c r="Q41" s="38" t="e">
        <f t="shared" ca="1" si="13"/>
        <v>#NAME?</v>
      </c>
      <c r="R41" s="38" t="e">
        <f t="shared" ca="1" si="14"/>
        <v>#NAME?</v>
      </c>
      <c r="S41" s="38">
        <f t="shared" si="1"/>
        <v>0</v>
      </c>
      <c r="T41" s="38" t="e">
        <f t="shared" ca="1" si="2"/>
        <v>#NAME?</v>
      </c>
    </row>
    <row r="42" spans="1:20" ht="20.25" customHeight="1">
      <c r="A42" s="62"/>
      <c r="B42" s="6">
        <f t="shared" si="3"/>
        <v>50861</v>
      </c>
      <c r="C42" s="117" t="str">
        <f t="shared" si="0"/>
        <v/>
      </c>
      <c r="D42" s="131">
        <f t="shared" si="4"/>
        <v>25400.25</v>
      </c>
      <c r="E42" s="131">
        <f t="shared" si="9"/>
        <v>25400.25</v>
      </c>
      <c r="F42" s="138" t="e">
        <f t="shared" ca="1" si="11"/>
        <v>#NAME?</v>
      </c>
      <c r="G42" s="132" t="e">
        <f t="shared" ca="1" si="5"/>
        <v>#NAME?</v>
      </c>
      <c r="H42" s="132" t="e">
        <f t="shared" ca="1" si="6"/>
        <v>#NAME?</v>
      </c>
      <c r="I42" s="9" t="e">
        <f t="shared" ca="1" si="7"/>
        <v>#NAME?</v>
      </c>
      <c r="J42" s="66"/>
      <c r="K42" s="11"/>
      <c r="L42" s="11"/>
      <c r="M42" s="6">
        <f t="shared" si="8"/>
        <v>50679</v>
      </c>
      <c r="N42" s="40" t="s">
        <v>77</v>
      </c>
      <c r="O42" s="38">
        <f t="shared" si="12"/>
        <v>0</v>
      </c>
      <c r="P42" s="38" t="e">
        <f t="shared" ca="1" si="10"/>
        <v>#NAME?</v>
      </c>
      <c r="Q42" s="38" t="e">
        <f t="shared" ca="1" si="13"/>
        <v>#NAME?</v>
      </c>
      <c r="R42" s="38" t="e">
        <f t="shared" ca="1" si="14"/>
        <v>#NAME?</v>
      </c>
      <c r="S42" s="38">
        <f t="shared" si="1"/>
        <v>0</v>
      </c>
      <c r="T42" s="38" t="e">
        <f t="shared" ca="1" si="2"/>
        <v>#NAME?</v>
      </c>
    </row>
    <row r="43" spans="1:20" ht="20.25" customHeight="1">
      <c r="A43" s="62"/>
      <c r="B43" s="6">
        <f t="shared" si="3"/>
        <v>51044</v>
      </c>
      <c r="C43" s="117" t="str">
        <f t="shared" si="0"/>
        <v/>
      </c>
      <c r="D43" s="131">
        <f t="shared" si="4"/>
        <v>25400.25</v>
      </c>
      <c r="E43" s="131">
        <f t="shared" si="9"/>
        <v>25400.25</v>
      </c>
      <c r="F43" s="138" t="e">
        <f t="shared" ca="1" si="11"/>
        <v>#NAME?</v>
      </c>
      <c r="G43" s="132" t="e">
        <f t="shared" ca="1" si="5"/>
        <v>#NAME?</v>
      </c>
      <c r="H43" s="132" t="e">
        <f t="shared" ca="1" si="6"/>
        <v>#NAME?</v>
      </c>
      <c r="I43" s="9" t="e">
        <f t="shared" ca="1" si="7"/>
        <v>#NAME?</v>
      </c>
      <c r="J43" s="66"/>
      <c r="K43" s="11"/>
      <c r="L43" s="11"/>
      <c r="M43" s="6">
        <f t="shared" si="8"/>
        <v>50861</v>
      </c>
      <c r="N43" s="40" t="s">
        <v>78</v>
      </c>
      <c r="O43" s="38">
        <f t="shared" si="12"/>
        <v>0</v>
      </c>
      <c r="P43" s="38" t="e">
        <f t="shared" ca="1" si="10"/>
        <v>#NAME?</v>
      </c>
      <c r="Q43" s="38" t="e">
        <f t="shared" ca="1" si="13"/>
        <v>#NAME?</v>
      </c>
      <c r="R43" s="38" t="e">
        <f t="shared" ca="1" si="14"/>
        <v>#NAME?</v>
      </c>
      <c r="S43" s="38">
        <f t="shared" si="1"/>
        <v>0</v>
      </c>
      <c r="T43" s="38" t="e">
        <f t="shared" ca="1" si="2"/>
        <v>#NAME?</v>
      </c>
    </row>
    <row r="44" spans="1:20" ht="20.25" customHeight="1">
      <c r="A44" s="62"/>
      <c r="B44" s="6">
        <f t="shared" si="3"/>
        <v>51227</v>
      </c>
      <c r="C44" s="117" t="str">
        <f t="shared" si="0"/>
        <v/>
      </c>
      <c r="D44" s="131">
        <f t="shared" si="4"/>
        <v>25400.25</v>
      </c>
      <c r="E44" s="131">
        <f t="shared" si="9"/>
        <v>25400.25</v>
      </c>
      <c r="F44" s="138" t="e">
        <f t="shared" ca="1" si="11"/>
        <v>#NAME?</v>
      </c>
      <c r="G44" s="132" t="e">
        <f t="shared" ca="1" si="5"/>
        <v>#NAME?</v>
      </c>
      <c r="H44" s="132" t="e">
        <f t="shared" ca="1" si="6"/>
        <v>#NAME?</v>
      </c>
      <c r="I44" s="9" t="e">
        <f t="shared" ca="1" si="7"/>
        <v>#NAME?</v>
      </c>
      <c r="J44" s="66"/>
      <c r="K44" s="11"/>
      <c r="L44" s="11"/>
      <c r="M44" s="6">
        <f t="shared" si="8"/>
        <v>51044</v>
      </c>
      <c r="N44" s="40" t="s">
        <v>79</v>
      </c>
      <c r="O44" s="38">
        <f t="shared" si="12"/>
        <v>0</v>
      </c>
      <c r="P44" s="38" t="e">
        <f t="shared" ca="1" si="10"/>
        <v>#NAME?</v>
      </c>
      <c r="Q44" s="38" t="e">
        <f t="shared" ca="1" si="13"/>
        <v>#NAME?</v>
      </c>
      <c r="R44" s="38" t="e">
        <f t="shared" ca="1" si="14"/>
        <v>#NAME?</v>
      </c>
      <c r="S44" s="38">
        <f t="shared" si="1"/>
        <v>0</v>
      </c>
      <c r="T44" s="38" t="e">
        <f t="shared" ca="1" si="2"/>
        <v>#NAME?</v>
      </c>
    </row>
    <row r="45" spans="1:20" ht="20.25" customHeight="1">
      <c r="A45" s="62"/>
      <c r="B45" s="6">
        <f t="shared" si="3"/>
        <v>51410</v>
      </c>
      <c r="C45" s="117" t="str">
        <f t="shared" si="0"/>
        <v/>
      </c>
      <c r="D45" s="131">
        <f t="shared" si="4"/>
        <v>25400.25</v>
      </c>
      <c r="E45" s="131">
        <f t="shared" si="9"/>
        <v>25400.25</v>
      </c>
      <c r="F45" s="138" t="e">
        <f t="shared" ca="1" si="11"/>
        <v>#NAME?</v>
      </c>
      <c r="G45" s="132" t="e">
        <f t="shared" ca="1" si="5"/>
        <v>#NAME?</v>
      </c>
      <c r="H45" s="132" t="e">
        <f t="shared" ca="1" si="6"/>
        <v>#NAME?</v>
      </c>
      <c r="I45" s="9" t="e">
        <f t="shared" ca="1" si="7"/>
        <v>#NAME?</v>
      </c>
      <c r="J45" s="66"/>
      <c r="K45" s="11"/>
      <c r="L45" s="11"/>
      <c r="M45" s="6">
        <f t="shared" si="8"/>
        <v>51227</v>
      </c>
      <c r="N45" s="40" t="s">
        <v>80</v>
      </c>
      <c r="O45" s="38">
        <f t="shared" si="12"/>
        <v>0</v>
      </c>
      <c r="P45" s="38" t="e">
        <f t="shared" ca="1" si="10"/>
        <v>#NAME?</v>
      </c>
      <c r="Q45" s="38" t="e">
        <f t="shared" ca="1" si="13"/>
        <v>#NAME?</v>
      </c>
      <c r="R45" s="38" t="e">
        <f t="shared" ca="1" si="14"/>
        <v>#NAME?</v>
      </c>
      <c r="S45" s="38">
        <f t="shared" si="1"/>
        <v>0</v>
      </c>
      <c r="T45" s="38" t="e">
        <f t="shared" ca="1" si="2"/>
        <v>#NAME?</v>
      </c>
    </row>
    <row r="46" spans="1:20" ht="20.25" customHeight="1">
      <c r="A46" s="62"/>
      <c r="B46" s="6">
        <f t="shared" si="3"/>
        <v>51592</v>
      </c>
      <c r="C46" s="117" t="str">
        <f t="shared" si="0"/>
        <v/>
      </c>
      <c r="D46" s="131">
        <f t="shared" si="4"/>
        <v>25400.25</v>
      </c>
      <c r="E46" s="131">
        <f t="shared" si="9"/>
        <v>25400.25</v>
      </c>
      <c r="F46" s="138" t="e">
        <f t="shared" ca="1" si="11"/>
        <v>#NAME?</v>
      </c>
      <c r="G46" s="132" t="e">
        <f t="shared" ca="1" si="5"/>
        <v>#NAME?</v>
      </c>
      <c r="H46" s="132" t="e">
        <f t="shared" ca="1" si="6"/>
        <v>#NAME?</v>
      </c>
      <c r="I46" s="9" t="e">
        <f t="shared" ca="1" si="7"/>
        <v>#NAME?</v>
      </c>
      <c r="J46" s="66"/>
      <c r="K46" s="11"/>
      <c r="L46" s="11"/>
      <c r="M46" s="6">
        <f t="shared" si="8"/>
        <v>51410</v>
      </c>
      <c r="N46" s="40" t="s">
        <v>81</v>
      </c>
      <c r="O46" s="38">
        <f t="shared" si="12"/>
        <v>0</v>
      </c>
      <c r="P46" s="38" t="e">
        <f t="shared" ca="1" si="10"/>
        <v>#NAME?</v>
      </c>
      <c r="Q46" s="38" t="e">
        <f t="shared" ca="1" si="13"/>
        <v>#NAME?</v>
      </c>
      <c r="R46" s="38" t="e">
        <f t="shared" ca="1" si="14"/>
        <v>#NAME?</v>
      </c>
      <c r="S46" s="38">
        <f t="shared" si="1"/>
        <v>0</v>
      </c>
      <c r="T46" s="38" t="e">
        <f t="shared" ca="1" si="2"/>
        <v>#NAME?</v>
      </c>
    </row>
    <row r="47" spans="1:20" ht="20.25" customHeight="1">
      <c r="A47" s="62"/>
      <c r="B47" s="6">
        <f t="shared" si="3"/>
        <v>51775</v>
      </c>
      <c r="C47" s="117" t="str">
        <f t="shared" si="0"/>
        <v/>
      </c>
      <c r="D47" s="131">
        <f t="shared" si="4"/>
        <v>25400.25</v>
      </c>
      <c r="E47" s="131">
        <f t="shared" si="9"/>
        <v>25400.25</v>
      </c>
      <c r="F47" s="138" t="e">
        <f t="shared" ca="1" si="11"/>
        <v>#NAME?</v>
      </c>
      <c r="G47" s="132" t="e">
        <f t="shared" ca="1" si="5"/>
        <v>#NAME?</v>
      </c>
      <c r="H47" s="132" t="e">
        <f t="shared" ca="1" si="6"/>
        <v>#NAME?</v>
      </c>
      <c r="I47" s="9" t="e">
        <f t="shared" ca="1" si="7"/>
        <v>#NAME?</v>
      </c>
      <c r="J47" s="66"/>
      <c r="K47" s="11"/>
      <c r="L47" s="11"/>
      <c r="M47" s="6">
        <f t="shared" si="8"/>
        <v>51592</v>
      </c>
      <c r="N47" s="40" t="s">
        <v>82</v>
      </c>
      <c r="O47" s="38">
        <f t="shared" si="12"/>
        <v>0</v>
      </c>
      <c r="P47" s="38" t="e">
        <f t="shared" ca="1" si="10"/>
        <v>#NAME?</v>
      </c>
      <c r="Q47" s="38" t="e">
        <f t="shared" ca="1" si="13"/>
        <v>#NAME?</v>
      </c>
      <c r="R47" s="38" t="e">
        <f t="shared" ca="1" si="14"/>
        <v>#NAME?</v>
      </c>
      <c r="S47" s="38">
        <f t="shared" si="1"/>
        <v>0</v>
      </c>
      <c r="T47" s="38" t="e">
        <f t="shared" ca="1" si="2"/>
        <v>#NAME?</v>
      </c>
    </row>
    <row r="48" spans="1:20" ht="20.25" customHeight="1">
      <c r="A48" s="62"/>
      <c r="B48" s="6">
        <f t="shared" si="3"/>
        <v>51957</v>
      </c>
      <c r="C48" s="117" t="str">
        <f t="shared" si="0"/>
        <v/>
      </c>
      <c r="D48" s="131">
        <f t="shared" si="4"/>
        <v>25400.25</v>
      </c>
      <c r="E48" s="131">
        <f t="shared" si="9"/>
        <v>25400.25</v>
      </c>
      <c r="F48" s="138" t="e">
        <f t="shared" ca="1" si="11"/>
        <v>#NAME?</v>
      </c>
      <c r="G48" s="132" t="e">
        <f t="shared" ca="1" si="5"/>
        <v>#NAME?</v>
      </c>
      <c r="H48" s="132" t="e">
        <f t="shared" ca="1" si="6"/>
        <v>#NAME?</v>
      </c>
      <c r="I48" s="9" t="e">
        <f t="shared" ca="1" si="7"/>
        <v>#NAME?</v>
      </c>
      <c r="J48" s="66"/>
      <c r="K48" s="11"/>
      <c r="L48" s="11"/>
      <c r="M48" s="6">
        <f t="shared" si="8"/>
        <v>51775</v>
      </c>
      <c r="N48" s="40" t="s">
        <v>83</v>
      </c>
      <c r="O48" s="38">
        <f t="shared" si="12"/>
        <v>0</v>
      </c>
      <c r="P48" s="38" t="e">
        <f t="shared" ca="1" si="10"/>
        <v>#NAME?</v>
      </c>
      <c r="Q48" s="38" t="e">
        <f t="shared" ca="1" si="13"/>
        <v>#NAME?</v>
      </c>
      <c r="R48" s="38" t="e">
        <f t="shared" ca="1" si="14"/>
        <v>#NAME?</v>
      </c>
      <c r="S48" s="38">
        <f t="shared" si="1"/>
        <v>0</v>
      </c>
      <c r="T48" s="38" t="e">
        <f t="shared" ca="1" si="2"/>
        <v>#NAME?</v>
      </c>
    </row>
    <row r="49" spans="1:20" ht="20.25" customHeight="1">
      <c r="A49" s="62"/>
      <c r="B49" s="6">
        <f t="shared" si="3"/>
        <v>52140</v>
      </c>
      <c r="C49" s="117" t="str">
        <f t="shared" si="0"/>
        <v/>
      </c>
      <c r="D49" s="131">
        <f t="shared" si="4"/>
        <v>25400.25</v>
      </c>
      <c r="E49" s="131">
        <f t="shared" si="9"/>
        <v>25400.25</v>
      </c>
      <c r="F49" s="138" t="e">
        <f t="shared" ca="1" si="11"/>
        <v>#NAME?</v>
      </c>
      <c r="G49" s="132" t="e">
        <f t="shared" ca="1" si="5"/>
        <v>#NAME?</v>
      </c>
      <c r="H49" s="132" t="e">
        <f t="shared" ca="1" si="6"/>
        <v>#NAME?</v>
      </c>
      <c r="I49" s="9" t="e">
        <f t="shared" ca="1" si="7"/>
        <v>#NAME?</v>
      </c>
      <c r="J49" s="66"/>
      <c r="K49" s="11"/>
      <c r="L49" s="11"/>
      <c r="M49" s="6">
        <f t="shared" si="8"/>
        <v>51957</v>
      </c>
      <c r="N49" s="40" t="s">
        <v>84</v>
      </c>
      <c r="O49" s="38">
        <f t="shared" si="12"/>
        <v>0</v>
      </c>
      <c r="P49" s="38" t="e">
        <f t="shared" ca="1" si="10"/>
        <v>#NAME?</v>
      </c>
      <c r="Q49" s="38" t="e">
        <f t="shared" ca="1" si="13"/>
        <v>#NAME?</v>
      </c>
      <c r="R49" s="38" t="e">
        <f t="shared" ca="1" si="14"/>
        <v>#NAME?</v>
      </c>
      <c r="S49" s="38">
        <f t="shared" si="1"/>
        <v>0</v>
      </c>
      <c r="T49" s="38" t="e">
        <f t="shared" ca="1" si="2"/>
        <v>#NAME?</v>
      </c>
    </row>
    <row r="50" spans="1:20" ht="20.25" customHeight="1">
      <c r="A50" s="62"/>
      <c r="B50" s="6">
        <f t="shared" si="3"/>
        <v>52322</v>
      </c>
      <c r="C50" s="117" t="str">
        <f t="shared" si="0"/>
        <v/>
      </c>
      <c r="D50" s="131">
        <f t="shared" si="4"/>
        <v>25400.25</v>
      </c>
      <c r="E50" s="131">
        <f t="shared" si="9"/>
        <v>25400.25</v>
      </c>
      <c r="F50" s="138" t="e">
        <f t="shared" ca="1" si="11"/>
        <v>#NAME?</v>
      </c>
      <c r="G50" s="132" t="e">
        <f t="shared" ca="1" si="5"/>
        <v>#NAME?</v>
      </c>
      <c r="H50" s="132" t="e">
        <f t="shared" ca="1" si="6"/>
        <v>#NAME?</v>
      </c>
      <c r="I50" s="9" t="e">
        <f t="shared" ca="1" si="7"/>
        <v>#NAME?</v>
      </c>
      <c r="J50" s="66"/>
      <c r="K50" s="11"/>
      <c r="L50" s="11"/>
      <c r="M50" s="6">
        <f t="shared" si="8"/>
        <v>52140</v>
      </c>
      <c r="N50" s="40" t="s">
        <v>85</v>
      </c>
      <c r="O50" s="38">
        <f t="shared" si="12"/>
        <v>0</v>
      </c>
      <c r="P50" s="38" t="e">
        <f t="shared" ca="1" si="10"/>
        <v>#NAME?</v>
      </c>
      <c r="Q50" s="38" t="e">
        <f t="shared" ca="1" si="13"/>
        <v>#NAME?</v>
      </c>
      <c r="R50" s="38" t="e">
        <f t="shared" ca="1" si="14"/>
        <v>#NAME?</v>
      </c>
      <c r="S50" s="38">
        <f t="shared" si="1"/>
        <v>0</v>
      </c>
      <c r="T50" s="38" t="e">
        <f t="shared" ca="1" si="2"/>
        <v>#NAME?</v>
      </c>
    </row>
    <row r="51" spans="1:20" ht="20.25" customHeight="1">
      <c r="A51" s="62"/>
      <c r="B51" s="6">
        <f t="shared" si="3"/>
        <v>52505</v>
      </c>
      <c r="C51" s="117" t="str">
        <f t="shared" si="0"/>
        <v/>
      </c>
      <c r="D51" s="131">
        <f t="shared" si="4"/>
        <v>25400.25</v>
      </c>
      <c r="E51" s="131">
        <f t="shared" si="9"/>
        <v>25400.25</v>
      </c>
      <c r="F51" s="138" t="e">
        <f t="shared" ca="1" si="11"/>
        <v>#NAME?</v>
      </c>
      <c r="G51" s="132" t="e">
        <f t="shared" ca="1" si="5"/>
        <v>#NAME?</v>
      </c>
      <c r="H51" s="132" t="e">
        <f t="shared" ca="1" si="6"/>
        <v>#NAME?</v>
      </c>
      <c r="I51" s="9" t="e">
        <f t="shared" ca="1" si="7"/>
        <v>#NAME?</v>
      </c>
      <c r="J51" s="66"/>
      <c r="K51" s="11"/>
      <c r="L51" s="11"/>
      <c r="M51" s="6">
        <f t="shared" si="8"/>
        <v>52322</v>
      </c>
      <c r="N51" s="40" t="s">
        <v>86</v>
      </c>
      <c r="O51" s="38">
        <f t="shared" si="12"/>
        <v>0</v>
      </c>
      <c r="P51" s="38" t="e">
        <f t="shared" ca="1" si="10"/>
        <v>#NAME?</v>
      </c>
      <c r="Q51" s="38" t="e">
        <f t="shared" ca="1" si="13"/>
        <v>#NAME?</v>
      </c>
      <c r="R51" s="38" t="e">
        <f t="shared" ca="1" si="14"/>
        <v>#NAME?</v>
      </c>
      <c r="S51" s="38">
        <f t="shared" si="1"/>
        <v>0</v>
      </c>
      <c r="T51" s="38" t="e">
        <f t="shared" ca="1" si="2"/>
        <v>#NAME?</v>
      </c>
    </row>
    <row r="52" spans="1:20" ht="20.25" customHeight="1">
      <c r="A52" s="62"/>
      <c r="B52" s="6">
        <f t="shared" si="3"/>
        <v>52688</v>
      </c>
      <c r="C52" s="117" t="str">
        <f t="shared" si="0"/>
        <v/>
      </c>
      <c r="D52" s="131">
        <f t="shared" si="4"/>
        <v>25400.25</v>
      </c>
      <c r="E52" s="131">
        <f t="shared" si="9"/>
        <v>25400.25</v>
      </c>
      <c r="F52" s="138" t="e">
        <f t="shared" ca="1" si="11"/>
        <v>#NAME?</v>
      </c>
      <c r="G52" s="132" t="e">
        <f t="shared" ca="1" si="5"/>
        <v>#NAME?</v>
      </c>
      <c r="H52" s="132" t="e">
        <f t="shared" ca="1" si="6"/>
        <v>#NAME?</v>
      </c>
      <c r="I52" s="9" t="e">
        <f t="shared" ca="1" si="7"/>
        <v>#NAME?</v>
      </c>
      <c r="J52" s="66"/>
      <c r="K52" s="11"/>
      <c r="L52" s="11"/>
      <c r="M52" s="6">
        <f t="shared" si="8"/>
        <v>52505</v>
      </c>
      <c r="N52" s="40" t="s">
        <v>87</v>
      </c>
      <c r="O52" s="38">
        <f t="shared" si="12"/>
        <v>0</v>
      </c>
      <c r="P52" s="38" t="e">
        <f t="shared" ca="1" si="10"/>
        <v>#NAME?</v>
      </c>
      <c r="Q52" s="38" t="e">
        <f t="shared" ca="1" si="13"/>
        <v>#NAME?</v>
      </c>
      <c r="R52" s="38" t="e">
        <f t="shared" ca="1" si="14"/>
        <v>#NAME?</v>
      </c>
      <c r="S52" s="38">
        <f t="shared" si="1"/>
        <v>0</v>
      </c>
      <c r="T52" s="38" t="e">
        <f t="shared" ca="1" si="2"/>
        <v>#NAME?</v>
      </c>
    </row>
    <row r="53" spans="1:20" ht="20.25" customHeight="1">
      <c r="A53" s="62"/>
      <c r="B53" s="6">
        <f t="shared" si="3"/>
        <v>52871</v>
      </c>
      <c r="C53" s="117" t="str">
        <f t="shared" si="0"/>
        <v/>
      </c>
      <c r="D53" s="131">
        <f t="shared" si="4"/>
        <v>25400.25</v>
      </c>
      <c r="E53" s="131">
        <f t="shared" si="9"/>
        <v>25400.25</v>
      </c>
      <c r="F53" s="138" t="e">
        <f t="shared" ca="1" si="11"/>
        <v>#NAME?</v>
      </c>
      <c r="G53" s="132" t="e">
        <f t="shared" ca="1" si="5"/>
        <v>#NAME?</v>
      </c>
      <c r="H53" s="132" t="e">
        <f t="shared" ca="1" si="6"/>
        <v>#NAME?</v>
      </c>
      <c r="I53" s="9" t="e">
        <f t="shared" ca="1" si="7"/>
        <v>#NAME?</v>
      </c>
      <c r="J53" s="66"/>
      <c r="K53" s="11"/>
      <c r="L53" s="11"/>
      <c r="M53" s="6">
        <f t="shared" si="8"/>
        <v>52688</v>
      </c>
      <c r="N53" s="40" t="s">
        <v>88</v>
      </c>
      <c r="O53" s="38">
        <f t="shared" si="12"/>
        <v>0</v>
      </c>
      <c r="P53" s="38" t="e">
        <f t="shared" ca="1" si="10"/>
        <v>#NAME?</v>
      </c>
      <c r="Q53" s="38" t="e">
        <f t="shared" ca="1" si="13"/>
        <v>#NAME?</v>
      </c>
      <c r="R53" s="38" t="e">
        <f t="shared" ca="1" si="14"/>
        <v>#NAME?</v>
      </c>
      <c r="S53" s="38">
        <f t="shared" si="1"/>
        <v>0</v>
      </c>
      <c r="T53" s="38" t="e">
        <f t="shared" ca="1" si="2"/>
        <v>#NAME?</v>
      </c>
    </row>
    <row r="54" spans="1:20" ht="20.25" customHeight="1">
      <c r="A54" s="62"/>
      <c r="B54" s="6">
        <f t="shared" si="3"/>
        <v>53053</v>
      </c>
      <c r="C54" s="117" t="str">
        <f t="shared" si="0"/>
        <v/>
      </c>
      <c r="D54" s="131">
        <f t="shared" si="4"/>
        <v>25400.25</v>
      </c>
      <c r="E54" s="131">
        <f t="shared" si="9"/>
        <v>25400.25</v>
      </c>
      <c r="F54" s="138" t="e">
        <f t="shared" ca="1" si="11"/>
        <v>#NAME?</v>
      </c>
      <c r="G54" s="132" t="e">
        <f t="shared" ca="1" si="5"/>
        <v>#NAME?</v>
      </c>
      <c r="H54" s="132" t="e">
        <f t="shared" ca="1" si="6"/>
        <v>#NAME?</v>
      </c>
      <c r="I54" s="9" t="e">
        <f t="shared" ca="1" si="7"/>
        <v>#NAME?</v>
      </c>
      <c r="J54" s="66"/>
      <c r="K54" s="11"/>
      <c r="L54" s="11"/>
      <c r="M54" s="6">
        <f t="shared" si="8"/>
        <v>52871</v>
      </c>
      <c r="N54" s="40" t="s">
        <v>89</v>
      </c>
      <c r="O54" s="38">
        <f t="shared" si="12"/>
        <v>0</v>
      </c>
      <c r="P54" s="38" t="e">
        <f t="shared" ca="1" si="10"/>
        <v>#NAME?</v>
      </c>
      <c r="Q54" s="38" t="e">
        <f t="shared" ca="1" si="13"/>
        <v>#NAME?</v>
      </c>
      <c r="R54" s="38" t="e">
        <f t="shared" ca="1" si="14"/>
        <v>#NAME?</v>
      </c>
      <c r="S54" s="38">
        <f t="shared" si="1"/>
        <v>0</v>
      </c>
      <c r="T54" s="38" t="e">
        <f t="shared" ca="1" si="2"/>
        <v>#NAME?</v>
      </c>
    </row>
    <row r="55" spans="1:20" ht="20.25" customHeight="1">
      <c r="A55" s="62"/>
      <c r="B55" s="6">
        <f t="shared" si="3"/>
        <v>53236</v>
      </c>
      <c r="C55" s="117" t="str">
        <f t="shared" si="0"/>
        <v/>
      </c>
      <c r="D55" s="131">
        <f t="shared" si="4"/>
        <v>25400.25</v>
      </c>
      <c r="E55" s="131">
        <f t="shared" si="9"/>
        <v>25400.25</v>
      </c>
      <c r="F55" s="138" t="e">
        <f t="shared" ca="1" si="11"/>
        <v>#NAME?</v>
      </c>
      <c r="G55" s="132" t="e">
        <f t="shared" ca="1" si="5"/>
        <v>#NAME?</v>
      </c>
      <c r="H55" s="132" t="e">
        <f t="shared" ca="1" si="6"/>
        <v>#NAME?</v>
      </c>
      <c r="I55" s="9" t="e">
        <f t="shared" ca="1" si="7"/>
        <v>#NAME?</v>
      </c>
      <c r="J55" s="66"/>
      <c r="K55" s="11"/>
      <c r="L55" s="11"/>
      <c r="M55" s="6">
        <f t="shared" si="8"/>
        <v>53053</v>
      </c>
      <c r="N55" s="40" t="s">
        <v>90</v>
      </c>
      <c r="O55" s="38">
        <f t="shared" si="12"/>
        <v>0</v>
      </c>
      <c r="P55" s="38" t="e">
        <f t="shared" ca="1" si="10"/>
        <v>#NAME?</v>
      </c>
      <c r="Q55" s="38" t="e">
        <f t="shared" ca="1" si="13"/>
        <v>#NAME?</v>
      </c>
      <c r="R55" s="38" t="e">
        <f t="shared" ca="1" si="14"/>
        <v>#NAME?</v>
      </c>
      <c r="S55" s="38">
        <f t="shared" si="1"/>
        <v>0</v>
      </c>
      <c r="T55" s="38" t="e">
        <f t="shared" ca="1" si="2"/>
        <v>#NAME?</v>
      </c>
    </row>
    <row r="56" spans="1:20" ht="20.25" customHeight="1">
      <c r="A56" s="62"/>
      <c r="B56" s="6">
        <f t="shared" si="3"/>
        <v>53418</v>
      </c>
      <c r="C56" s="117" t="str">
        <f t="shared" si="0"/>
        <v/>
      </c>
      <c r="D56" s="131">
        <f t="shared" si="4"/>
        <v>25400.25</v>
      </c>
      <c r="E56" s="131">
        <f t="shared" si="9"/>
        <v>25400.25</v>
      </c>
      <c r="F56" s="138" t="e">
        <f t="shared" ca="1" si="11"/>
        <v>#NAME?</v>
      </c>
      <c r="G56" s="132" t="e">
        <f t="shared" ca="1" si="5"/>
        <v>#NAME?</v>
      </c>
      <c r="H56" s="132" t="e">
        <f t="shared" ca="1" si="6"/>
        <v>#NAME?</v>
      </c>
      <c r="I56" s="9" t="e">
        <f t="shared" ca="1" si="7"/>
        <v>#NAME?</v>
      </c>
      <c r="J56" s="66"/>
      <c r="K56" s="11"/>
      <c r="L56" s="11"/>
      <c r="M56" s="6">
        <f t="shared" si="8"/>
        <v>53236</v>
      </c>
      <c r="N56" s="40" t="s">
        <v>91</v>
      </c>
      <c r="O56" s="38">
        <f t="shared" si="12"/>
        <v>0</v>
      </c>
      <c r="P56" s="38" t="e">
        <f t="shared" ca="1" si="10"/>
        <v>#NAME?</v>
      </c>
      <c r="Q56" s="38" t="e">
        <f t="shared" ca="1" si="13"/>
        <v>#NAME?</v>
      </c>
      <c r="R56" s="38" t="e">
        <f t="shared" ca="1" si="14"/>
        <v>#NAME?</v>
      </c>
      <c r="S56" s="38">
        <f t="shared" si="1"/>
        <v>0</v>
      </c>
      <c r="T56" s="38" t="e">
        <f t="shared" ca="1" si="2"/>
        <v>#NAME?</v>
      </c>
    </row>
    <row r="57" spans="1:20" ht="20.25" customHeight="1">
      <c r="A57" s="62"/>
      <c r="B57" s="6">
        <f t="shared" si="3"/>
        <v>53601</v>
      </c>
      <c r="C57" s="117" t="str">
        <f t="shared" si="0"/>
        <v/>
      </c>
      <c r="D57" s="131">
        <f t="shared" si="4"/>
        <v>25400.25</v>
      </c>
      <c r="E57" s="131">
        <f t="shared" si="9"/>
        <v>25400.25</v>
      </c>
      <c r="F57" s="138" t="e">
        <f t="shared" ca="1" si="11"/>
        <v>#NAME?</v>
      </c>
      <c r="G57" s="132" t="e">
        <f t="shared" ca="1" si="5"/>
        <v>#NAME?</v>
      </c>
      <c r="H57" s="132" t="e">
        <f t="shared" ca="1" si="6"/>
        <v>#NAME?</v>
      </c>
      <c r="I57" s="9" t="e">
        <f t="shared" ca="1" si="7"/>
        <v>#NAME?</v>
      </c>
      <c r="J57" s="66"/>
      <c r="K57" s="11"/>
      <c r="L57" s="11"/>
      <c r="M57" s="6">
        <f t="shared" si="8"/>
        <v>53418</v>
      </c>
      <c r="N57" s="40" t="s">
        <v>92</v>
      </c>
      <c r="O57" s="38">
        <f t="shared" si="12"/>
        <v>0</v>
      </c>
      <c r="P57" s="38" t="e">
        <f t="shared" ca="1" si="10"/>
        <v>#NAME?</v>
      </c>
      <c r="Q57" s="38" t="e">
        <f t="shared" ca="1" si="13"/>
        <v>#NAME?</v>
      </c>
      <c r="R57" s="38" t="e">
        <f t="shared" ca="1" si="14"/>
        <v>#NAME?</v>
      </c>
      <c r="S57" s="38">
        <f t="shared" si="1"/>
        <v>0</v>
      </c>
      <c r="T57" s="38" t="e">
        <f t="shared" ca="1" si="2"/>
        <v>#NAME?</v>
      </c>
    </row>
    <row r="58" spans="1:20" ht="20.25" customHeight="1">
      <c r="A58" s="62"/>
      <c r="B58" s="6">
        <f t="shared" si="3"/>
        <v>53783</v>
      </c>
      <c r="C58" s="117" t="str">
        <f t="shared" si="0"/>
        <v/>
      </c>
      <c r="D58" s="131">
        <f t="shared" si="4"/>
        <v>25400.25</v>
      </c>
      <c r="E58" s="131">
        <f t="shared" si="9"/>
        <v>25400.25</v>
      </c>
      <c r="F58" s="138" t="e">
        <f t="shared" ca="1" si="11"/>
        <v>#NAME?</v>
      </c>
      <c r="G58" s="132" t="e">
        <f t="shared" ca="1" si="5"/>
        <v>#NAME?</v>
      </c>
      <c r="H58" s="132" t="e">
        <f t="shared" ca="1" si="6"/>
        <v>#NAME?</v>
      </c>
      <c r="I58" s="9" t="e">
        <f t="shared" ca="1" si="7"/>
        <v>#NAME?</v>
      </c>
      <c r="J58" s="66"/>
      <c r="K58" s="11"/>
      <c r="L58" s="11"/>
      <c r="M58" s="6">
        <f t="shared" si="8"/>
        <v>53601</v>
      </c>
      <c r="N58" s="40" t="s">
        <v>93</v>
      </c>
      <c r="O58" s="38">
        <f t="shared" si="12"/>
        <v>0</v>
      </c>
      <c r="P58" s="38" t="e">
        <f t="shared" ca="1" si="10"/>
        <v>#NAME?</v>
      </c>
      <c r="Q58" s="38" t="e">
        <f t="shared" ca="1" si="13"/>
        <v>#NAME?</v>
      </c>
      <c r="R58" s="38" t="e">
        <f t="shared" ca="1" si="14"/>
        <v>#NAME?</v>
      </c>
      <c r="S58" s="38">
        <f t="shared" si="1"/>
        <v>0</v>
      </c>
      <c r="T58" s="38" t="e">
        <f t="shared" ca="1" si="2"/>
        <v>#NAME?</v>
      </c>
    </row>
    <row r="59" spans="1:20" ht="20.25" customHeight="1">
      <c r="A59" s="62"/>
      <c r="B59" s="6">
        <f t="shared" ref="B59:B122" si="15">IF(B58&lt;$C$8,COUPNCD(B58,$C$8,IF($C$10=O$9,1,IF($C$10=O$8,2,4))),"")</f>
        <v>53966</v>
      </c>
      <c r="C59" s="117" t="str">
        <f t="shared" ref="C59:C122" si="16">IF(B59=$C$8,$E$9,"")</f>
        <v/>
      </c>
      <c r="D59" s="131">
        <f t="shared" ref="D59:D122" si="17">IF(B59="","",IF($C$13="krw",(TRUNC(($C$9*$E$9)/(IF($C$10=$O$9,1,IF($C$10=$O$8,2,4))),2)*$C$14),(TRUNC(($C$9*$E$9)/(IF($C$10=$O$9,1,IF($C$10=$O$8,2,4))),2))))</f>
        <v>25400.25</v>
      </c>
      <c r="E59" s="131">
        <f t="shared" si="9"/>
        <v>25400.25</v>
      </c>
      <c r="F59" s="138" t="e">
        <f t="shared" ref="F59:F122" ca="1" si="18">IF(B59="","",IF(E59&gt;R59,E59-R59,0))</f>
        <v>#NAME?</v>
      </c>
      <c r="G59" s="132" t="e">
        <f t="shared" ca="1" si="5"/>
        <v>#NAME?</v>
      </c>
      <c r="H59" s="132" t="e">
        <f t="shared" ca="1" si="6"/>
        <v>#NAME?</v>
      </c>
      <c r="I59" s="9" t="e">
        <f t="shared" ref="I59:I122" ca="1" si="19">IF(B59="","",D59-P59-G59-H59)</f>
        <v>#NAME?</v>
      </c>
      <c r="J59" s="66"/>
      <c r="K59" s="11"/>
      <c r="L59" s="11"/>
      <c r="M59" s="6">
        <f t="shared" ref="M59:M122" si="20">IF(B58&lt;$C$8,COUPNCD(M58,$C$8,IF($C$10=$O$9,1,IF($C$10=$O$8,2,4))),"")</f>
        <v>53783</v>
      </c>
      <c r="N59" s="40" t="s">
        <v>136</v>
      </c>
      <c r="O59" s="38">
        <f t="shared" ref="O59:O122" si="21">S58</f>
        <v>0</v>
      </c>
      <c r="P59" s="38" t="e">
        <f t="shared" ca="1" si="10"/>
        <v>#NAME?</v>
      </c>
      <c r="Q59" s="38" t="e">
        <f t="shared" ref="Q59:Q122" ca="1" si="22">+T58+P59</f>
        <v>#NAME?</v>
      </c>
      <c r="R59" s="38" t="e">
        <f t="shared" ref="R59:R122" ca="1" si="23">+O59+Q59</f>
        <v>#NAME?</v>
      </c>
      <c r="S59" s="38">
        <f t="shared" ref="S59:S122" si="24">IF(E59&lt;O59,O59-E59,0)</f>
        <v>0</v>
      </c>
      <c r="T59" s="38" t="e">
        <f t="shared" ref="T59:T122" ca="1" si="25">IF(S59&gt;0,Q59,IF(E59&gt;R59,0,Q59-(E59-O59)))</f>
        <v>#NAME?</v>
      </c>
    </row>
    <row r="60" spans="1:20" ht="20.25" customHeight="1">
      <c r="A60" s="62"/>
      <c r="B60" s="6">
        <f t="shared" si="15"/>
        <v>54149</v>
      </c>
      <c r="C60" s="117" t="str">
        <f t="shared" si="16"/>
        <v/>
      </c>
      <c r="D60" s="131">
        <f t="shared" si="17"/>
        <v>25400.25</v>
      </c>
      <c r="E60" s="131">
        <f t="shared" si="9"/>
        <v>25400.25</v>
      </c>
      <c r="F60" s="138" t="e">
        <f t="shared" ca="1" si="18"/>
        <v>#NAME?</v>
      </c>
      <c r="G60" s="132" t="e">
        <f t="shared" ca="1" si="5"/>
        <v>#NAME?</v>
      </c>
      <c r="H60" s="132" t="e">
        <f t="shared" ca="1" si="6"/>
        <v>#NAME?</v>
      </c>
      <c r="I60" s="9" t="e">
        <f t="shared" ca="1" si="19"/>
        <v>#NAME?</v>
      </c>
      <c r="J60" s="66"/>
      <c r="K60" s="11"/>
      <c r="L60" s="11"/>
      <c r="M60" s="6">
        <f t="shared" si="20"/>
        <v>53966</v>
      </c>
      <c r="N60" s="40" t="s">
        <v>137</v>
      </c>
      <c r="O60" s="38">
        <f t="shared" si="21"/>
        <v>0</v>
      </c>
      <c r="P60" s="38" t="e">
        <f t="shared" ca="1" si="10"/>
        <v>#NAME?</v>
      </c>
      <c r="Q60" s="38" t="e">
        <f t="shared" ca="1" si="22"/>
        <v>#NAME?</v>
      </c>
      <c r="R60" s="38" t="e">
        <f t="shared" ca="1" si="23"/>
        <v>#NAME?</v>
      </c>
      <c r="S60" s="38">
        <f t="shared" si="24"/>
        <v>0</v>
      </c>
      <c r="T60" s="38" t="e">
        <f t="shared" ca="1" si="25"/>
        <v>#NAME?</v>
      </c>
    </row>
    <row r="61" spans="1:20" ht="20.25" customHeight="1">
      <c r="A61" s="62"/>
      <c r="B61" s="6">
        <f t="shared" si="15"/>
        <v>54332</v>
      </c>
      <c r="C61" s="117" t="str">
        <f t="shared" si="16"/>
        <v/>
      </c>
      <c r="D61" s="131">
        <f t="shared" si="17"/>
        <v>25400.25</v>
      </c>
      <c r="E61" s="131">
        <f t="shared" si="9"/>
        <v>25400.25</v>
      </c>
      <c r="F61" s="138" t="e">
        <f t="shared" ca="1" si="18"/>
        <v>#NAME?</v>
      </c>
      <c r="G61" s="132" t="e">
        <f t="shared" ca="1" si="5"/>
        <v>#NAME?</v>
      </c>
      <c r="H61" s="132" t="e">
        <f t="shared" ca="1" si="6"/>
        <v>#NAME?</v>
      </c>
      <c r="I61" s="9" t="e">
        <f t="shared" ca="1" si="19"/>
        <v>#NAME?</v>
      </c>
      <c r="J61" s="66"/>
      <c r="K61" s="11"/>
      <c r="L61" s="11"/>
      <c r="M61" s="6">
        <f t="shared" si="20"/>
        <v>54149</v>
      </c>
      <c r="N61" s="40" t="s">
        <v>138</v>
      </c>
      <c r="O61" s="38">
        <f t="shared" si="21"/>
        <v>0</v>
      </c>
      <c r="P61" s="38" t="e">
        <f t="shared" ca="1" si="10"/>
        <v>#NAME?</v>
      </c>
      <c r="Q61" s="38" t="e">
        <f t="shared" ca="1" si="22"/>
        <v>#NAME?</v>
      </c>
      <c r="R61" s="38" t="e">
        <f t="shared" ca="1" si="23"/>
        <v>#NAME?</v>
      </c>
      <c r="S61" s="38">
        <f t="shared" si="24"/>
        <v>0</v>
      </c>
      <c r="T61" s="38" t="e">
        <f t="shared" ca="1" si="25"/>
        <v>#NAME?</v>
      </c>
    </row>
    <row r="62" spans="1:20" ht="20.25" customHeight="1">
      <c r="A62" s="62"/>
      <c r="B62" s="6">
        <f t="shared" si="15"/>
        <v>54514</v>
      </c>
      <c r="C62" s="117" t="str">
        <f t="shared" si="16"/>
        <v/>
      </c>
      <c r="D62" s="131">
        <f t="shared" si="17"/>
        <v>25400.25</v>
      </c>
      <c r="E62" s="131">
        <f t="shared" si="9"/>
        <v>25400.25</v>
      </c>
      <c r="F62" s="138" t="e">
        <f t="shared" ca="1" si="18"/>
        <v>#NAME?</v>
      </c>
      <c r="G62" s="132" t="e">
        <f t="shared" ca="1" si="5"/>
        <v>#NAME?</v>
      </c>
      <c r="H62" s="132" t="e">
        <f t="shared" ca="1" si="6"/>
        <v>#NAME?</v>
      </c>
      <c r="I62" s="9" t="e">
        <f t="shared" ca="1" si="19"/>
        <v>#NAME?</v>
      </c>
      <c r="J62" s="66"/>
      <c r="K62" s="11"/>
      <c r="L62" s="11"/>
      <c r="M62" s="6">
        <f t="shared" si="20"/>
        <v>54332</v>
      </c>
      <c r="N62" s="40" t="s">
        <v>139</v>
      </c>
      <c r="O62" s="38">
        <f t="shared" si="21"/>
        <v>0</v>
      </c>
      <c r="P62" s="38" t="e">
        <f t="shared" ca="1" si="10"/>
        <v>#NAME?</v>
      </c>
      <c r="Q62" s="38" t="e">
        <f t="shared" ca="1" si="22"/>
        <v>#NAME?</v>
      </c>
      <c r="R62" s="38" t="e">
        <f t="shared" ca="1" si="23"/>
        <v>#NAME?</v>
      </c>
      <c r="S62" s="38">
        <f t="shared" si="24"/>
        <v>0</v>
      </c>
      <c r="T62" s="38" t="e">
        <f t="shared" ca="1" si="25"/>
        <v>#NAME?</v>
      </c>
    </row>
    <row r="63" spans="1:20" ht="20.25" customHeight="1">
      <c r="A63" s="62"/>
      <c r="B63" s="6">
        <f t="shared" si="15"/>
        <v>54697</v>
      </c>
      <c r="C63" s="117" t="str">
        <f t="shared" si="16"/>
        <v/>
      </c>
      <c r="D63" s="131">
        <f t="shared" si="17"/>
        <v>25400.25</v>
      </c>
      <c r="E63" s="131">
        <f t="shared" si="9"/>
        <v>25400.25</v>
      </c>
      <c r="F63" s="138" t="e">
        <f t="shared" ca="1" si="18"/>
        <v>#NAME?</v>
      </c>
      <c r="G63" s="132" t="e">
        <f t="shared" ca="1" si="5"/>
        <v>#NAME?</v>
      </c>
      <c r="H63" s="132" t="e">
        <f t="shared" ca="1" si="6"/>
        <v>#NAME?</v>
      </c>
      <c r="I63" s="9" t="e">
        <f t="shared" ca="1" si="19"/>
        <v>#NAME?</v>
      </c>
      <c r="J63" s="66"/>
      <c r="K63" s="11"/>
      <c r="L63" s="11"/>
      <c r="M63" s="6">
        <f t="shared" si="20"/>
        <v>54514</v>
      </c>
      <c r="N63" s="40" t="s">
        <v>140</v>
      </c>
      <c r="O63" s="38">
        <f t="shared" si="21"/>
        <v>0</v>
      </c>
      <c r="P63" s="38" t="e">
        <f t="shared" ca="1" si="10"/>
        <v>#NAME?</v>
      </c>
      <c r="Q63" s="38" t="e">
        <f t="shared" ca="1" si="22"/>
        <v>#NAME?</v>
      </c>
      <c r="R63" s="38" t="e">
        <f t="shared" ca="1" si="23"/>
        <v>#NAME?</v>
      </c>
      <c r="S63" s="38">
        <f t="shared" si="24"/>
        <v>0</v>
      </c>
      <c r="T63" s="38" t="e">
        <f t="shared" ca="1" si="25"/>
        <v>#NAME?</v>
      </c>
    </row>
    <row r="64" spans="1:20" ht="20.25" customHeight="1">
      <c r="A64" s="62"/>
      <c r="B64" s="6">
        <f t="shared" si="15"/>
        <v>54879</v>
      </c>
      <c r="C64" s="117" t="str">
        <f t="shared" si="16"/>
        <v/>
      </c>
      <c r="D64" s="131">
        <f t="shared" si="17"/>
        <v>25400.25</v>
      </c>
      <c r="E64" s="131">
        <f t="shared" si="9"/>
        <v>25400.25</v>
      </c>
      <c r="F64" s="138" t="e">
        <f t="shared" ca="1" si="18"/>
        <v>#NAME?</v>
      </c>
      <c r="G64" s="132" t="e">
        <f t="shared" ca="1" si="5"/>
        <v>#NAME?</v>
      </c>
      <c r="H64" s="132" t="e">
        <f t="shared" ca="1" si="6"/>
        <v>#NAME?</v>
      </c>
      <c r="I64" s="9" t="e">
        <f t="shared" ca="1" si="19"/>
        <v>#NAME?</v>
      </c>
      <c r="J64" s="66"/>
      <c r="K64" s="11"/>
      <c r="L64" s="11"/>
      <c r="M64" s="6">
        <f t="shared" si="20"/>
        <v>54697</v>
      </c>
      <c r="N64" s="40" t="s">
        <v>141</v>
      </c>
      <c r="O64" s="38">
        <f t="shared" si="21"/>
        <v>0</v>
      </c>
      <c r="P64" s="38" t="e">
        <f t="shared" ca="1" si="10"/>
        <v>#NAME?</v>
      </c>
      <c r="Q64" s="38" t="e">
        <f t="shared" ca="1" si="22"/>
        <v>#NAME?</v>
      </c>
      <c r="R64" s="38" t="e">
        <f t="shared" ca="1" si="23"/>
        <v>#NAME?</v>
      </c>
      <c r="S64" s="38">
        <f t="shared" si="24"/>
        <v>0</v>
      </c>
      <c r="T64" s="38" t="e">
        <f t="shared" ca="1" si="25"/>
        <v>#NAME?</v>
      </c>
    </row>
    <row r="65" spans="1:20" ht="20.25" customHeight="1">
      <c r="A65" s="62"/>
      <c r="B65" s="6">
        <f t="shared" si="15"/>
        <v>55062</v>
      </c>
      <c r="C65" s="117" t="str">
        <f t="shared" si="16"/>
        <v/>
      </c>
      <c r="D65" s="131">
        <f t="shared" si="17"/>
        <v>25400.25</v>
      </c>
      <c r="E65" s="131">
        <f t="shared" si="9"/>
        <v>25400.25</v>
      </c>
      <c r="F65" s="138" t="e">
        <f t="shared" ca="1" si="18"/>
        <v>#NAME?</v>
      </c>
      <c r="G65" s="132" t="e">
        <f t="shared" ca="1" si="5"/>
        <v>#NAME?</v>
      </c>
      <c r="H65" s="132" t="e">
        <f t="shared" ca="1" si="6"/>
        <v>#NAME?</v>
      </c>
      <c r="I65" s="9" t="e">
        <f t="shared" ca="1" si="19"/>
        <v>#NAME?</v>
      </c>
      <c r="J65" s="66"/>
      <c r="K65" s="11"/>
      <c r="L65" s="11"/>
      <c r="M65" s="6">
        <f t="shared" si="20"/>
        <v>54879</v>
      </c>
      <c r="N65" s="40" t="s">
        <v>142</v>
      </c>
      <c r="O65" s="38">
        <f t="shared" si="21"/>
        <v>0</v>
      </c>
      <c r="P65" s="38" t="e">
        <f t="shared" ca="1" si="10"/>
        <v>#NAME?</v>
      </c>
      <c r="Q65" s="38" t="e">
        <f t="shared" ca="1" si="22"/>
        <v>#NAME?</v>
      </c>
      <c r="R65" s="38" t="e">
        <f t="shared" ca="1" si="23"/>
        <v>#NAME?</v>
      </c>
      <c r="S65" s="38">
        <f t="shared" si="24"/>
        <v>0</v>
      </c>
      <c r="T65" s="38" t="e">
        <f t="shared" ca="1" si="25"/>
        <v>#NAME?</v>
      </c>
    </row>
    <row r="66" spans="1:20" ht="20.25" customHeight="1">
      <c r="A66" s="62"/>
      <c r="B66" s="6">
        <f t="shared" si="15"/>
        <v>55244</v>
      </c>
      <c r="C66" s="117" t="str">
        <f t="shared" si="16"/>
        <v/>
      </c>
      <c r="D66" s="131">
        <f t="shared" si="17"/>
        <v>25400.25</v>
      </c>
      <c r="E66" s="131">
        <f t="shared" si="9"/>
        <v>25400.25</v>
      </c>
      <c r="F66" s="138" t="e">
        <f t="shared" ca="1" si="18"/>
        <v>#NAME?</v>
      </c>
      <c r="G66" s="132" t="e">
        <f t="shared" ca="1" si="5"/>
        <v>#NAME?</v>
      </c>
      <c r="H66" s="132" t="e">
        <f t="shared" ca="1" si="6"/>
        <v>#NAME?</v>
      </c>
      <c r="I66" s="9" t="e">
        <f t="shared" ca="1" si="19"/>
        <v>#NAME?</v>
      </c>
      <c r="J66" s="66"/>
      <c r="K66" s="11"/>
      <c r="L66" s="11"/>
      <c r="M66" s="6">
        <f t="shared" si="20"/>
        <v>55062</v>
      </c>
      <c r="N66" s="40" t="s">
        <v>143</v>
      </c>
      <c r="O66" s="38">
        <f t="shared" si="21"/>
        <v>0</v>
      </c>
      <c r="P66" s="38" t="e">
        <f t="shared" ca="1" si="10"/>
        <v>#NAME?</v>
      </c>
      <c r="Q66" s="38" t="e">
        <f t="shared" ca="1" si="22"/>
        <v>#NAME?</v>
      </c>
      <c r="R66" s="38" t="e">
        <f t="shared" ca="1" si="23"/>
        <v>#NAME?</v>
      </c>
      <c r="S66" s="38">
        <f t="shared" si="24"/>
        <v>0</v>
      </c>
      <c r="T66" s="38" t="e">
        <f t="shared" ca="1" si="25"/>
        <v>#NAME?</v>
      </c>
    </row>
    <row r="67" spans="1:20" ht="20.25" customHeight="1">
      <c r="A67" s="62"/>
      <c r="B67" s="6">
        <f t="shared" si="15"/>
        <v>55427</v>
      </c>
      <c r="C67" s="117" t="str">
        <f t="shared" si="16"/>
        <v/>
      </c>
      <c r="D67" s="131">
        <f t="shared" si="17"/>
        <v>25400.25</v>
      </c>
      <c r="E67" s="131">
        <f t="shared" si="9"/>
        <v>25400.25</v>
      </c>
      <c r="F67" s="138" t="e">
        <f t="shared" ca="1" si="18"/>
        <v>#NAME?</v>
      </c>
      <c r="G67" s="132" t="e">
        <f t="shared" ca="1" si="5"/>
        <v>#NAME?</v>
      </c>
      <c r="H67" s="132" t="e">
        <f t="shared" ca="1" si="6"/>
        <v>#NAME?</v>
      </c>
      <c r="I67" s="9" t="e">
        <f t="shared" ca="1" si="19"/>
        <v>#NAME?</v>
      </c>
      <c r="J67" s="66"/>
      <c r="K67" s="11"/>
      <c r="L67" s="11"/>
      <c r="M67" s="6">
        <f t="shared" si="20"/>
        <v>55244</v>
      </c>
      <c r="N67" s="40" t="s">
        <v>144</v>
      </c>
      <c r="O67" s="38">
        <f t="shared" si="21"/>
        <v>0</v>
      </c>
      <c r="P67" s="38" t="e">
        <f t="shared" ca="1" si="10"/>
        <v>#NAME?</v>
      </c>
      <c r="Q67" s="38" t="e">
        <f t="shared" ca="1" si="22"/>
        <v>#NAME?</v>
      </c>
      <c r="R67" s="38" t="e">
        <f t="shared" ca="1" si="23"/>
        <v>#NAME?</v>
      </c>
      <c r="S67" s="38">
        <f t="shared" si="24"/>
        <v>0</v>
      </c>
      <c r="T67" s="38" t="e">
        <f t="shared" ca="1" si="25"/>
        <v>#NAME?</v>
      </c>
    </row>
    <row r="68" spans="1:20" ht="20.25" customHeight="1">
      <c r="A68" s="62"/>
      <c r="B68" s="6">
        <f t="shared" si="15"/>
        <v>55610</v>
      </c>
      <c r="C68" s="117" t="str">
        <f t="shared" si="16"/>
        <v/>
      </c>
      <c r="D68" s="131">
        <f t="shared" si="17"/>
        <v>25400.25</v>
      </c>
      <c r="E68" s="131">
        <f t="shared" si="9"/>
        <v>25400.25</v>
      </c>
      <c r="F68" s="138" t="e">
        <f t="shared" ca="1" si="18"/>
        <v>#NAME?</v>
      </c>
      <c r="G68" s="132" t="e">
        <f t="shared" ca="1" si="5"/>
        <v>#NAME?</v>
      </c>
      <c r="H68" s="132" t="e">
        <f t="shared" ca="1" si="6"/>
        <v>#NAME?</v>
      </c>
      <c r="I68" s="9" t="e">
        <f t="shared" ca="1" si="19"/>
        <v>#NAME?</v>
      </c>
      <c r="J68" s="66"/>
      <c r="K68" s="11"/>
      <c r="L68" s="11"/>
      <c r="M68" s="6">
        <f t="shared" si="20"/>
        <v>55427</v>
      </c>
      <c r="N68" s="40" t="s">
        <v>145</v>
      </c>
      <c r="O68" s="38">
        <f t="shared" si="21"/>
        <v>0</v>
      </c>
      <c r="P68" s="38" t="e">
        <f t="shared" ca="1" si="10"/>
        <v>#NAME?</v>
      </c>
      <c r="Q68" s="38" t="e">
        <f t="shared" ca="1" si="22"/>
        <v>#NAME?</v>
      </c>
      <c r="R68" s="38" t="e">
        <f t="shared" ca="1" si="23"/>
        <v>#NAME?</v>
      </c>
      <c r="S68" s="38">
        <f t="shared" si="24"/>
        <v>0</v>
      </c>
      <c r="T68" s="38" t="e">
        <f t="shared" ca="1" si="25"/>
        <v>#NAME?</v>
      </c>
    </row>
    <row r="69" spans="1:20" ht="20.25" customHeight="1">
      <c r="A69" s="62"/>
      <c r="B69" s="6">
        <f t="shared" si="15"/>
        <v>55793</v>
      </c>
      <c r="C69" s="117" t="str">
        <f t="shared" si="16"/>
        <v/>
      </c>
      <c r="D69" s="131">
        <f t="shared" si="17"/>
        <v>25400.25</v>
      </c>
      <c r="E69" s="131">
        <f t="shared" si="9"/>
        <v>25400.25</v>
      </c>
      <c r="F69" s="138" t="e">
        <f t="shared" ca="1" si="18"/>
        <v>#NAME?</v>
      </c>
      <c r="G69" s="132" t="e">
        <f t="shared" ca="1" si="5"/>
        <v>#NAME?</v>
      </c>
      <c r="H69" s="132" t="e">
        <f t="shared" ca="1" si="6"/>
        <v>#NAME?</v>
      </c>
      <c r="I69" s="9" t="e">
        <f t="shared" ca="1" si="19"/>
        <v>#NAME?</v>
      </c>
      <c r="J69" s="66"/>
      <c r="K69" s="11"/>
      <c r="L69" s="11"/>
      <c r="M69" s="6">
        <f t="shared" si="20"/>
        <v>55610</v>
      </c>
      <c r="N69" s="40" t="s">
        <v>146</v>
      </c>
      <c r="O69" s="38">
        <f t="shared" si="21"/>
        <v>0</v>
      </c>
      <c r="P69" s="38" t="e">
        <f t="shared" ca="1" si="10"/>
        <v>#NAME?</v>
      </c>
      <c r="Q69" s="38" t="e">
        <f t="shared" ca="1" si="22"/>
        <v>#NAME?</v>
      </c>
      <c r="R69" s="38" t="e">
        <f t="shared" ca="1" si="23"/>
        <v>#NAME?</v>
      </c>
      <c r="S69" s="38">
        <f t="shared" si="24"/>
        <v>0</v>
      </c>
      <c r="T69" s="38" t="e">
        <f t="shared" ca="1" si="25"/>
        <v>#NAME?</v>
      </c>
    </row>
    <row r="70" spans="1:20" ht="20.25" customHeight="1">
      <c r="A70" s="62"/>
      <c r="B70" s="6">
        <f t="shared" si="15"/>
        <v>55975</v>
      </c>
      <c r="C70" s="117" t="str">
        <f t="shared" si="16"/>
        <v/>
      </c>
      <c r="D70" s="131">
        <f t="shared" si="17"/>
        <v>25400.25</v>
      </c>
      <c r="E70" s="131">
        <f t="shared" si="9"/>
        <v>25400.25</v>
      </c>
      <c r="F70" s="138" t="e">
        <f t="shared" ca="1" si="18"/>
        <v>#NAME?</v>
      </c>
      <c r="G70" s="132" t="e">
        <f t="shared" ca="1" si="5"/>
        <v>#NAME?</v>
      </c>
      <c r="H70" s="132" t="e">
        <f t="shared" ca="1" si="6"/>
        <v>#NAME?</v>
      </c>
      <c r="I70" s="9" t="e">
        <f t="shared" ca="1" si="19"/>
        <v>#NAME?</v>
      </c>
      <c r="J70" s="66"/>
      <c r="K70" s="11"/>
      <c r="L70" s="11"/>
      <c r="M70" s="6">
        <f t="shared" si="20"/>
        <v>55793</v>
      </c>
      <c r="N70" s="40" t="s">
        <v>147</v>
      </c>
      <c r="O70" s="38">
        <f t="shared" si="21"/>
        <v>0</v>
      </c>
      <c r="P70" s="38" t="e">
        <f t="shared" ca="1" si="10"/>
        <v>#NAME?</v>
      </c>
      <c r="Q70" s="38" t="e">
        <f t="shared" ca="1" si="22"/>
        <v>#NAME?</v>
      </c>
      <c r="R70" s="38" t="e">
        <f t="shared" ca="1" si="23"/>
        <v>#NAME?</v>
      </c>
      <c r="S70" s="38">
        <f t="shared" si="24"/>
        <v>0</v>
      </c>
      <c r="T70" s="38" t="e">
        <f t="shared" ca="1" si="25"/>
        <v>#NAME?</v>
      </c>
    </row>
    <row r="71" spans="1:20" ht="20.25" customHeight="1">
      <c r="A71" s="62"/>
      <c r="B71" s="6">
        <f t="shared" si="15"/>
        <v>56158</v>
      </c>
      <c r="C71" s="117" t="str">
        <f t="shared" si="16"/>
        <v/>
      </c>
      <c r="D71" s="131">
        <f t="shared" si="17"/>
        <v>25400.25</v>
      </c>
      <c r="E71" s="131">
        <f t="shared" si="9"/>
        <v>25400.25</v>
      </c>
      <c r="F71" s="138" t="e">
        <f t="shared" ca="1" si="18"/>
        <v>#NAME?</v>
      </c>
      <c r="G71" s="132" t="e">
        <f t="shared" ca="1" si="5"/>
        <v>#NAME?</v>
      </c>
      <c r="H71" s="132" t="e">
        <f t="shared" ca="1" si="6"/>
        <v>#NAME?</v>
      </c>
      <c r="I71" s="9" t="e">
        <f t="shared" ca="1" si="19"/>
        <v>#NAME?</v>
      </c>
      <c r="J71" s="66"/>
      <c r="K71" s="11"/>
      <c r="L71" s="11"/>
      <c r="M71" s="6">
        <f t="shared" si="20"/>
        <v>55975</v>
      </c>
      <c r="N71" s="40" t="s">
        <v>148</v>
      </c>
      <c r="O71" s="38">
        <f t="shared" si="21"/>
        <v>0</v>
      </c>
      <c r="P71" s="38" t="e">
        <f t="shared" ca="1" si="10"/>
        <v>#NAME?</v>
      </c>
      <c r="Q71" s="38" t="e">
        <f t="shared" ca="1" si="22"/>
        <v>#NAME?</v>
      </c>
      <c r="R71" s="38" t="e">
        <f t="shared" ca="1" si="23"/>
        <v>#NAME?</v>
      </c>
      <c r="S71" s="38">
        <f t="shared" si="24"/>
        <v>0</v>
      </c>
      <c r="T71" s="38" t="e">
        <f t="shared" ca="1" si="25"/>
        <v>#NAME?</v>
      </c>
    </row>
    <row r="72" spans="1:20" ht="20.25" customHeight="1">
      <c r="A72" s="62"/>
      <c r="B72" s="6">
        <f t="shared" si="15"/>
        <v>56340</v>
      </c>
      <c r="C72" s="117" t="str">
        <f t="shared" si="16"/>
        <v/>
      </c>
      <c r="D72" s="131">
        <f t="shared" si="17"/>
        <v>25400.25</v>
      </c>
      <c r="E72" s="131">
        <f t="shared" si="9"/>
        <v>25400.25</v>
      </c>
      <c r="F72" s="138" t="e">
        <f t="shared" ca="1" si="18"/>
        <v>#NAME?</v>
      </c>
      <c r="G72" s="132" t="e">
        <f t="shared" ca="1" si="5"/>
        <v>#NAME?</v>
      </c>
      <c r="H72" s="132" t="e">
        <f t="shared" ca="1" si="6"/>
        <v>#NAME?</v>
      </c>
      <c r="I72" s="9" t="e">
        <f t="shared" ca="1" si="19"/>
        <v>#NAME?</v>
      </c>
      <c r="J72" s="66"/>
      <c r="K72" s="11"/>
      <c r="L72" s="11"/>
      <c r="M72" s="6">
        <f t="shared" si="20"/>
        <v>56158</v>
      </c>
      <c r="N72" s="40" t="s">
        <v>149</v>
      </c>
      <c r="O72" s="38">
        <f t="shared" si="21"/>
        <v>0</v>
      </c>
      <c r="P72" s="38" t="e">
        <f t="shared" ca="1" si="10"/>
        <v>#NAME?</v>
      </c>
      <c r="Q72" s="38" t="e">
        <f t="shared" ca="1" si="22"/>
        <v>#NAME?</v>
      </c>
      <c r="R72" s="38" t="e">
        <f t="shared" ca="1" si="23"/>
        <v>#NAME?</v>
      </c>
      <c r="S72" s="38">
        <f t="shared" si="24"/>
        <v>0</v>
      </c>
      <c r="T72" s="38" t="e">
        <f t="shared" ca="1" si="25"/>
        <v>#NAME?</v>
      </c>
    </row>
    <row r="73" spans="1:20" ht="20.25" customHeight="1">
      <c r="A73" s="62"/>
      <c r="B73" s="6">
        <f t="shared" si="15"/>
        <v>56523</v>
      </c>
      <c r="C73" s="117" t="str">
        <f t="shared" si="16"/>
        <v/>
      </c>
      <c r="D73" s="131">
        <f t="shared" si="17"/>
        <v>25400.25</v>
      </c>
      <c r="E73" s="131">
        <f t="shared" si="9"/>
        <v>25400.25</v>
      </c>
      <c r="F73" s="138" t="e">
        <f t="shared" ca="1" si="18"/>
        <v>#NAME?</v>
      </c>
      <c r="G73" s="132" t="e">
        <f t="shared" ca="1" si="5"/>
        <v>#NAME?</v>
      </c>
      <c r="H73" s="132" t="e">
        <f t="shared" ca="1" si="6"/>
        <v>#NAME?</v>
      </c>
      <c r="I73" s="9" t="e">
        <f t="shared" ca="1" si="19"/>
        <v>#NAME?</v>
      </c>
      <c r="J73" s="66"/>
      <c r="K73" s="11"/>
      <c r="L73" s="11"/>
      <c r="M73" s="6">
        <f t="shared" si="20"/>
        <v>56340</v>
      </c>
      <c r="N73" s="40" t="s">
        <v>150</v>
      </c>
      <c r="O73" s="38">
        <f t="shared" si="21"/>
        <v>0</v>
      </c>
      <c r="P73" s="38" t="e">
        <f t="shared" ca="1" si="10"/>
        <v>#NAME?</v>
      </c>
      <c r="Q73" s="38" t="e">
        <f t="shared" ca="1" si="22"/>
        <v>#NAME?</v>
      </c>
      <c r="R73" s="38" t="e">
        <f t="shared" ca="1" si="23"/>
        <v>#NAME?</v>
      </c>
      <c r="S73" s="38">
        <f t="shared" si="24"/>
        <v>0</v>
      </c>
      <c r="T73" s="38" t="e">
        <f t="shared" ca="1" si="25"/>
        <v>#NAME?</v>
      </c>
    </row>
    <row r="74" spans="1:20" ht="20.25" customHeight="1">
      <c r="A74" s="62"/>
      <c r="B74" s="6">
        <f t="shared" si="15"/>
        <v>56705</v>
      </c>
      <c r="C74" s="117" t="str">
        <f t="shared" si="16"/>
        <v/>
      </c>
      <c r="D74" s="131">
        <f t="shared" si="17"/>
        <v>25400.25</v>
      </c>
      <c r="E74" s="131">
        <f t="shared" si="9"/>
        <v>25400.25</v>
      </c>
      <c r="F74" s="138" t="e">
        <f t="shared" ca="1" si="18"/>
        <v>#NAME?</v>
      </c>
      <c r="G74" s="132" t="e">
        <f t="shared" ca="1" si="5"/>
        <v>#NAME?</v>
      </c>
      <c r="H74" s="132" t="e">
        <f t="shared" ca="1" si="6"/>
        <v>#NAME?</v>
      </c>
      <c r="I74" s="9" t="e">
        <f t="shared" ca="1" si="19"/>
        <v>#NAME?</v>
      </c>
      <c r="J74" s="66"/>
      <c r="K74" s="11"/>
      <c r="L74" s="11"/>
      <c r="M74" s="6">
        <f t="shared" si="20"/>
        <v>56523</v>
      </c>
      <c r="N74" s="40" t="s">
        <v>151</v>
      </c>
      <c r="O74" s="38">
        <f t="shared" si="21"/>
        <v>0</v>
      </c>
      <c r="P74" s="38" t="e">
        <f t="shared" ca="1" si="10"/>
        <v>#NAME?</v>
      </c>
      <c r="Q74" s="38" t="e">
        <f t="shared" ca="1" si="22"/>
        <v>#NAME?</v>
      </c>
      <c r="R74" s="38" t="e">
        <f t="shared" ca="1" si="23"/>
        <v>#NAME?</v>
      </c>
      <c r="S74" s="38">
        <f t="shared" si="24"/>
        <v>0</v>
      </c>
      <c r="T74" s="38" t="e">
        <f t="shared" ca="1" si="25"/>
        <v>#NAME?</v>
      </c>
    </row>
    <row r="75" spans="1:20" ht="20.25" customHeight="1">
      <c r="A75" s="62"/>
      <c r="B75" s="6">
        <f t="shared" si="15"/>
        <v>56888</v>
      </c>
      <c r="C75" s="117" t="str">
        <f t="shared" si="16"/>
        <v/>
      </c>
      <c r="D75" s="131">
        <f t="shared" si="17"/>
        <v>25400.25</v>
      </c>
      <c r="E75" s="131">
        <f t="shared" si="9"/>
        <v>25400.25</v>
      </c>
      <c r="F75" s="138" t="e">
        <f t="shared" ca="1" si="18"/>
        <v>#NAME?</v>
      </c>
      <c r="G75" s="132" t="e">
        <f t="shared" ca="1" si="5"/>
        <v>#NAME?</v>
      </c>
      <c r="H75" s="132" t="e">
        <f t="shared" ca="1" si="6"/>
        <v>#NAME?</v>
      </c>
      <c r="I75" s="9" t="e">
        <f t="shared" ca="1" si="19"/>
        <v>#NAME?</v>
      </c>
      <c r="J75" s="66"/>
      <c r="K75" s="11"/>
      <c r="L75" s="11"/>
      <c r="M75" s="6">
        <f t="shared" si="20"/>
        <v>56705</v>
      </c>
      <c r="N75" s="40" t="s">
        <v>152</v>
      </c>
      <c r="O75" s="38">
        <f t="shared" si="21"/>
        <v>0</v>
      </c>
      <c r="P75" s="38" t="e">
        <f t="shared" ca="1" si="10"/>
        <v>#NAME?</v>
      </c>
      <c r="Q75" s="38" t="e">
        <f t="shared" ca="1" si="22"/>
        <v>#NAME?</v>
      </c>
      <c r="R75" s="38" t="e">
        <f t="shared" ca="1" si="23"/>
        <v>#NAME?</v>
      </c>
      <c r="S75" s="38">
        <f t="shared" si="24"/>
        <v>0</v>
      </c>
      <c r="T75" s="38" t="e">
        <f t="shared" ca="1" si="25"/>
        <v>#NAME?</v>
      </c>
    </row>
    <row r="76" spans="1:20" ht="20.25" customHeight="1">
      <c r="A76" s="62"/>
      <c r="B76" s="6">
        <f t="shared" si="15"/>
        <v>57071</v>
      </c>
      <c r="C76" s="117" t="str">
        <f t="shared" si="16"/>
        <v/>
      </c>
      <c r="D76" s="131">
        <f t="shared" si="17"/>
        <v>25400.25</v>
      </c>
      <c r="E76" s="131">
        <f t="shared" si="9"/>
        <v>25400.25</v>
      </c>
      <c r="F76" s="138" t="e">
        <f t="shared" ca="1" si="18"/>
        <v>#NAME?</v>
      </c>
      <c r="G76" s="132" t="e">
        <f t="shared" ca="1" si="5"/>
        <v>#NAME?</v>
      </c>
      <c r="H76" s="132" t="e">
        <f t="shared" ca="1" si="6"/>
        <v>#NAME?</v>
      </c>
      <c r="I76" s="9" t="e">
        <f t="shared" ca="1" si="19"/>
        <v>#NAME?</v>
      </c>
      <c r="J76" s="66"/>
      <c r="K76" s="11"/>
      <c r="L76" s="11"/>
      <c r="M76" s="6">
        <f t="shared" si="20"/>
        <v>56888</v>
      </c>
      <c r="N76" s="40" t="s">
        <v>153</v>
      </c>
      <c r="O76" s="38">
        <f t="shared" si="21"/>
        <v>0</v>
      </c>
      <c r="P76" s="38" t="e">
        <f t="shared" ca="1" si="10"/>
        <v>#NAME?</v>
      </c>
      <c r="Q76" s="38" t="e">
        <f t="shared" ca="1" si="22"/>
        <v>#NAME?</v>
      </c>
      <c r="R76" s="38" t="e">
        <f t="shared" ca="1" si="23"/>
        <v>#NAME?</v>
      </c>
      <c r="S76" s="38">
        <f t="shared" si="24"/>
        <v>0</v>
      </c>
      <c r="T76" s="38" t="e">
        <f t="shared" ca="1" si="25"/>
        <v>#NAME?</v>
      </c>
    </row>
    <row r="77" spans="1:20" ht="20.25" customHeight="1">
      <c r="A77" s="62"/>
      <c r="B77" s="6">
        <f t="shared" si="15"/>
        <v>57254</v>
      </c>
      <c r="C77" s="117" t="str">
        <f t="shared" si="16"/>
        <v/>
      </c>
      <c r="D77" s="131">
        <f t="shared" si="17"/>
        <v>25400.25</v>
      </c>
      <c r="E77" s="131">
        <f t="shared" si="9"/>
        <v>25400.25</v>
      </c>
      <c r="F77" s="138" t="e">
        <f t="shared" ca="1" si="18"/>
        <v>#NAME?</v>
      </c>
      <c r="G77" s="132" t="e">
        <f t="shared" ca="1" si="5"/>
        <v>#NAME?</v>
      </c>
      <c r="H77" s="132" t="e">
        <f t="shared" ca="1" si="6"/>
        <v>#NAME?</v>
      </c>
      <c r="I77" s="9" t="e">
        <f t="shared" ca="1" si="19"/>
        <v>#NAME?</v>
      </c>
      <c r="J77" s="66"/>
      <c r="K77" s="11"/>
      <c r="L77" s="11"/>
      <c r="M77" s="6">
        <f t="shared" si="20"/>
        <v>57071</v>
      </c>
      <c r="N77" s="40" t="s">
        <v>154</v>
      </c>
      <c r="O77" s="38">
        <f t="shared" si="21"/>
        <v>0</v>
      </c>
      <c r="P77" s="38" t="e">
        <f t="shared" ca="1" si="10"/>
        <v>#NAME?</v>
      </c>
      <c r="Q77" s="38" t="e">
        <f t="shared" ca="1" si="22"/>
        <v>#NAME?</v>
      </c>
      <c r="R77" s="38" t="e">
        <f t="shared" ca="1" si="23"/>
        <v>#NAME?</v>
      </c>
      <c r="S77" s="38">
        <f t="shared" si="24"/>
        <v>0</v>
      </c>
      <c r="T77" s="38" t="e">
        <f t="shared" ca="1" si="25"/>
        <v>#NAME?</v>
      </c>
    </row>
    <row r="78" spans="1:20" ht="20.25" customHeight="1">
      <c r="A78" s="62"/>
      <c r="B78" s="6">
        <f t="shared" si="15"/>
        <v>57436</v>
      </c>
      <c r="C78" s="117" t="str">
        <f t="shared" si="16"/>
        <v/>
      </c>
      <c r="D78" s="131">
        <f t="shared" si="17"/>
        <v>25400.25</v>
      </c>
      <c r="E78" s="131">
        <f t="shared" si="9"/>
        <v>25400.25</v>
      </c>
      <c r="F78" s="138" t="e">
        <f t="shared" ca="1" si="18"/>
        <v>#NAME?</v>
      </c>
      <c r="G78" s="132" t="e">
        <f t="shared" ca="1" si="5"/>
        <v>#NAME?</v>
      </c>
      <c r="H78" s="132" t="e">
        <f t="shared" ca="1" si="6"/>
        <v>#NAME?</v>
      </c>
      <c r="I78" s="9" t="e">
        <f t="shared" ca="1" si="19"/>
        <v>#NAME?</v>
      </c>
      <c r="J78" s="66"/>
      <c r="K78" s="11"/>
      <c r="L78" s="11"/>
      <c r="M78" s="6">
        <f t="shared" si="20"/>
        <v>57254</v>
      </c>
      <c r="N78" s="40" t="s">
        <v>155</v>
      </c>
      <c r="O78" s="38">
        <f t="shared" si="21"/>
        <v>0</v>
      </c>
      <c r="P78" s="38" t="e">
        <f t="shared" ca="1" si="10"/>
        <v>#NAME?</v>
      </c>
      <c r="Q78" s="38" t="e">
        <f t="shared" ca="1" si="22"/>
        <v>#NAME?</v>
      </c>
      <c r="R78" s="38" t="e">
        <f t="shared" ca="1" si="23"/>
        <v>#NAME?</v>
      </c>
      <c r="S78" s="38">
        <f t="shared" si="24"/>
        <v>0</v>
      </c>
      <c r="T78" s="38" t="e">
        <f t="shared" ca="1" si="25"/>
        <v>#NAME?</v>
      </c>
    </row>
    <row r="79" spans="1:20" ht="20.25" customHeight="1">
      <c r="A79" s="62"/>
      <c r="B79" s="6">
        <f t="shared" si="15"/>
        <v>57619</v>
      </c>
      <c r="C79" s="117" t="str">
        <f t="shared" si="16"/>
        <v/>
      </c>
      <c r="D79" s="131">
        <f t="shared" si="17"/>
        <v>25400.25</v>
      </c>
      <c r="E79" s="131">
        <f t="shared" si="9"/>
        <v>25400.25</v>
      </c>
      <c r="F79" s="138" t="e">
        <f t="shared" ca="1" si="18"/>
        <v>#NAME?</v>
      </c>
      <c r="G79" s="132" t="e">
        <f t="shared" ca="1" si="5"/>
        <v>#NAME?</v>
      </c>
      <c r="H79" s="132" t="e">
        <f t="shared" ca="1" si="6"/>
        <v>#NAME?</v>
      </c>
      <c r="I79" s="9" t="e">
        <f t="shared" ca="1" si="19"/>
        <v>#NAME?</v>
      </c>
      <c r="J79" s="66"/>
      <c r="K79" s="11"/>
      <c r="L79" s="11"/>
      <c r="M79" s="6">
        <f t="shared" si="20"/>
        <v>57436</v>
      </c>
      <c r="N79" s="40" t="s">
        <v>156</v>
      </c>
      <c r="O79" s="38">
        <f t="shared" si="21"/>
        <v>0</v>
      </c>
      <c r="P79" s="38" t="e">
        <f t="shared" ca="1" si="10"/>
        <v>#NAME?</v>
      </c>
      <c r="Q79" s="38" t="e">
        <f t="shared" ca="1" si="22"/>
        <v>#NAME?</v>
      </c>
      <c r="R79" s="38" t="e">
        <f t="shared" ca="1" si="23"/>
        <v>#NAME?</v>
      </c>
      <c r="S79" s="38">
        <f t="shared" si="24"/>
        <v>0</v>
      </c>
      <c r="T79" s="38" t="e">
        <f t="shared" ca="1" si="25"/>
        <v>#NAME?</v>
      </c>
    </row>
    <row r="80" spans="1:20" ht="20.25" customHeight="1">
      <c r="A80" s="62"/>
      <c r="B80" s="6">
        <f t="shared" si="15"/>
        <v>57801</v>
      </c>
      <c r="C80" s="117" t="str">
        <f t="shared" si="16"/>
        <v/>
      </c>
      <c r="D80" s="131">
        <f t="shared" si="17"/>
        <v>25400.25</v>
      </c>
      <c r="E80" s="131">
        <f t="shared" si="9"/>
        <v>25400.25</v>
      </c>
      <c r="F80" s="138" t="e">
        <f t="shared" ca="1" si="18"/>
        <v>#NAME?</v>
      </c>
      <c r="G80" s="132" t="e">
        <f t="shared" ca="1" si="5"/>
        <v>#NAME?</v>
      </c>
      <c r="H80" s="132" t="e">
        <f t="shared" ca="1" si="6"/>
        <v>#NAME?</v>
      </c>
      <c r="I80" s="9" t="e">
        <f t="shared" ca="1" si="19"/>
        <v>#NAME?</v>
      </c>
      <c r="J80" s="66"/>
      <c r="K80" s="11"/>
      <c r="L80" s="11"/>
      <c r="M80" s="6">
        <f t="shared" si="20"/>
        <v>57619</v>
      </c>
      <c r="N80" s="40" t="s">
        <v>157</v>
      </c>
      <c r="O80" s="38">
        <f t="shared" si="21"/>
        <v>0</v>
      </c>
      <c r="P80" s="38" t="e">
        <f t="shared" ca="1" si="10"/>
        <v>#NAME?</v>
      </c>
      <c r="Q80" s="38" t="e">
        <f t="shared" ca="1" si="22"/>
        <v>#NAME?</v>
      </c>
      <c r="R80" s="38" t="e">
        <f t="shared" ca="1" si="23"/>
        <v>#NAME?</v>
      </c>
      <c r="S80" s="38">
        <f t="shared" si="24"/>
        <v>0</v>
      </c>
      <c r="T80" s="38" t="e">
        <f t="shared" ca="1" si="25"/>
        <v>#NAME?</v>
      </c>
    </row>
    <row r="81" spans="1:20" ht="20.25" customHeight="1">
      <c r="A81" s="62"/>
      <c r="B81" s="6">
        <f t="shared" si="15"/>
        <v>57984</v>
      </c>
      <c r="C81" s="117" t="str">
        <f t="shared" si="16"/>
        <v/>
      </c>
      <c r="D81" s="131">
        <f t="shared" si="17"/>
        <v>25400.25</v>
      </c>
      <c r="E81" s="131">
        <f t="shared" si="9"/>
        <v>25400.25</v>
      </c>
      <c r="F81" s="138" t="e">
        <f t="shared" ca="1" si="18"/>
        <v>#NAME?</v>
      </c>
      <c r="G81" s="132" t="e">
        <f t="shared" ca="1" si="5"/>
        <v>#NAME?</v>
      </c>
      <c r="H81" s="132" t="e">
        <f t="shared" ca="1" si="6"/>
        <v>#NAME?</v>
      </c>
      <c r="I81" s="9" t="e">
        <f t="shared" ca="1" si="19"/>
        <v>#NAME?</v>
      </c>
      <c r="J81" s="66"/>
      <c r="K81" s="11"/>
      <c r="L81" s="11"/>
      <c r="M81" s="6">
        <f t="shared" si="20"/>
        <v>57801</v>
      </c>
      <c r="N81" s="40" t="s">
        <v>158</v>
      </c>
      <c r="O81" s="38">
        <f t="shared" si="21"/>
        <v>0</v>
      </c>
      <c r="P81" s="38" t="e">
        <f t="shared" ca="1" si="10"/>
        <v>#NAME?</v>
      </c>
      <c r="Q81" s="38" t="e">
        <f t="shared" ca="1" si="22"/>
        <v>#NAME?</v>
      </c>
      <c r="R81" s="38" t="e">
        <f t="shared" ca="1" si="23"/>
        <v>#NAME?</v>
      </c>
      <c r="S81" s="38">
        <f t="shared" si="24"/>
        <v>0</v>
      </c>
      <c r="T81" s="38" t="e">
        <f t="shared" ca="1" si="25"/>
        <v>#NAME?</v>
      </c>
    </row>
    <row r="82" spans="1:20" ht="20.25" customHeight="1">
      <c r="A82" s="62"/>
      <c r="B82" s="6">
        <f t="shared" si="15"/>
        <v>58166</v>
      </c>
      <c r="C82" s="117" t="str">
        <f t="shared" si="16"/>
        <v/>
      </c>
      <c r="D82" s="131">
        <f t="shared" si="17"/>
        <v>25400.25</v>
      </c>
      <c r="E82" s="131">
        <f t="shared" si="9"/>
        <v>25400.25</v>
      </c>
      <c r="F82" s="138" t="e">
        <f t="shared" ca="1" si="18"/>
        <v>#NAME?</v>
      </c>
      <c r="G82" s="132" t="e">
        <f t="shared" ca="1" si="5"/>
        <v>#NAME?</v>
      </c>
      <c r="H82" s="132" t="e">
        <f t="shared" ca="1" si="6"/>
        <v>#NAME?</v>
      </c>
      <c r="I82" s="9" t="e">
        <f t="shared" ca="1" si="19"/>
        <v>#NAME?</v>
      </c>
      <c r="J82" s="66"/>
      <c r="K82" s="11"/>
      <c r="L82" s="11"/>
      <c r="M82" s="6">
        <f t="shared" si="20"/>
        <v>57984</v>
      </c>
      <c r="N82" s="40" t="s">
        <v>159</v>
      </c>
      <c r="O82" s="38">
        <f t="shared" si="21"/>
        <v>0</v>
      </c>
      <c r="P82" s="38" t="e">
        <f t="shared" ca="1" si="10"/>
        <v>#NAME?</v>
      </c>
      <c r="Q82" s="38" t="e">
        <f t="shared" ca="1" si="22"/>
        <v>#NAME?</v>
      </c>
      <c r="R82" s="38" t="e">
        <f t="shared" ca="1" si="23"/>
        <v>#NAME?</v>
      </c>
      <c r="S82" s="38">
        <f t="shared" si="24"/>
        <v>0</v>
      </c>
      <c r="T82" s="38" t="e">
        <f t="shared" ca="1" si="25"/>
        <v>#NAME?</v>
      </c>
    </row>
    <row r="83" spans="1:20" ht="20.25" customHeight="1">
      <c r="A83" s="62"/>
      <c r="B83" s="6">
        <f t="shared" si="15"/>
        <v>58349</v>
      </c>
      <c r="C83" s="117" t="str">
        <f t="shared" si="16"/>
        <v/>
      </c>
      <c r="D83" s="131">
        <f t="shared" si="17"/>
        <v>25400.25</v>
      </c>
      <c r="E83" s="131">
        <f t="shared" si="9"/>
        <v>25400.25</v>
      </c>
      <c r="F83" s="138" t="e">
        <f t="shared" ca="1" si="18"/>
        <v>#NAME?</v>
      </c>
      <c r="G83" s="132" t="e">
        <f t="shared" ca="1" si="5"/>
        <v>#NAME?</v>
      </c>
      <c r="H83" s="132" t="e">
        <f t="shared" ca="1" si="6"/>
        <v>#NAME?</v>
      </c>
      <c r="I83" s="9" t="e">
        <f t="shared" ca="1" si="19"/>
        <v>#NAME?</v>
      </c>
      <c r="J83" s="66"/>
      <c r="K83" s="11"/>
      <c r="L83" s="11"/>
      <c r="M83" s="6">
        <f t="shared" si="20"/>
        <v>58166</v>
      </c>
      <c r="N83" s="40" t="s">
        <v>160</v>
      </c>
      <c r="O83" s="38">
        <f t="shared" si="21"/>
        <v>0</v>
      </c>
      <c r="P83" s="38" t="e">
        <f t="shared" ca="1" si="10"/>
        <v>#NAME?</v>
      </c>
      <c r="Q83" s="38" t="e">
        <f t="shared" ca="1" si="22"/>
        <v>#NAME?</v>
      </c>
      <c r="R83" s="38" t="e">
        <f t="shared" ca="1" si="23"/>
        <v>#NAME?</v>
      </c>
      <c r="S83" s="38">
        <f t="shared" si="24"/>
        <v>0</v>
      </c>
      <c r="T83" s="38" t="e">
        <f t="shared" ca="1" si="25"/>
        <v>#NAME?</v>
      </c>
    </row>
    <row r="84" spans="1:20" ht="20.25" customHeight="1">
      <c r="A84" s="62"/>
      <c r="B84" s="6">
        <f t="shared" si="15"/>
        <v>58532</v>
      </c>
      <c r="C84" s="117" t="str">
        <f t="shared" si="16"/>
        <v/>
      </c>
      <c r="D84" s="131">
        <f t="shared" si="17"/>
        <v>25400.25</v>
      </c>
      <c r="E84" s="131">
        <f t="shared" si="9"/>
        <v>25400.25</v>
      </c>
      <c r="F84" s="138" t="e">
        <f t="shared" ca="1" si="18"/>
        <v>#NAME?</v>
      </c>
      <c r="G84" s="132" t="e">
        <f t="shared" ref="G84:G147" ca="1" si="26">ROUNDDOWN(F84*0%,-1)</f>
        <v>#NAME?</v>
      </c>
      <c r="H84" s="132" t="e">
        <f t="shared" ref="H84:H147" ca="1" si="27">IF($E$4="개인",F84*1.4%,F84*2.8%)</f>
        <v>#NAME?</v>
      </c>
      <c r="I84" s="9" t="e">
        <f t="shared" ca="1" si="19"/>
        <v>#NAME?</v>
      </c>
      <c r="J84" s="66"/>
      <c r="K84" s="11"/>
      <c r="L84" s="11"/>
      <c r="M84" s="6">
        <f t="shared" si="20"/>
        <v>58349</v>
      </c>
      <c r="N84" s="40" t="s">
        <v>161</v>
      </c>
      <c r="O84" s="38">
        <f t="shared" si="21"/>
        <v>0</v>
      </c>
      <c r="P84" s="38" t="e">
        <f t="shared" ca="1" si="10"/>
        <v>#NAME?</v>
      </c>
      <c r="Q84" s="38" t="e">
        <f t="shared" ca="1" si="22"/>
        <v>#NAME?</v>
      </c>
      <c r="R84" s="38" t="e">
        <f t="shared" ca="1" si="23"/>
        <v>#NAME?</v>
      </c>
      <c r="S84" s="38">
        <f t="shared" si="24"/>
        <v>0</v>
      </c>
      <c r="T84" s="38" t="e">
        <f t="shared" ca="1" si="25"/>
        <v>#NAME?</v>
      </c>
    </row>
    <row r="85" spans="1:20" ht="20.25" customHeight="1">
      <c r="A85" s="62"/>
      <c r="B85" s="6">
        <f t="shared" si="15"/>
        <v>58715</v>
      </c>
      <c r="C85" s="117" t="str">
        <f t="shared" si="16"/>
        <v/>
      </c>
      <c r="D85" s="131">
        <f t="shared" si="17"/>
        <v>25400.25</v>
      </c>
      <c r="E85" s="131">
        <f t="shared" ref="E85:E148" si="28">IF(B85="","",D85)</f>
        <v>25400.25</v>
      </c>
      <c r="F85" s="138" t="e">
        <f t="shared" ca="1" si="18"/>
        <v>#NAME?</v>
      </c>
      <c r="G85" s="132" t="e">
        <f t="shared" ca="1" si="26"/>
        <v>#NAME?</v>
      </c>
      <c r="H85" s="132" t="e">
        <f t="shared" ca="1" si="27"/>
        <v>#NAME?</v>
      </c>
      <c r="I85" s="9" t="e">
        <f t="shared" ca="1" si="19"/>
        <v>#NAME?</v>
      </c>
      <c r="J85" s="66"/>
      <c r="K85" s="11"/>
      <c r="L85" s="11"/>
      <c r="M85" s="6">
        <f t="shared" si="20"/>
        <v>58532</v>
      </c>
      <c r="N85" s="40" t="s">
        <v>162</v>
      </c>
      <c r="O85" s="38">
        <f t="shared" si="21"/>
        <v>0</v>
      </c>
      <c r="P85" s="38" t="e">
        <f t="shared" ref="P85:P148" ca="1" si="29">$I$7*$G$8/365*(_xlfn.DAYS(B85,M85))</f>
        <v>#NAME?</v>
      </c>
      <c r="Q85" s="38" t="e">
        <f t="shared" ca="1" si="22"/>
        <v>#NAME?</v>
      </c>
      <c r="R85" s="38" t="e">
        <f t="shared" ca="1" si="23"/>
        <v>#NAME?</v>
      </c>
      <c r="S85" s="38">
        <f t="shared" si="24"/>
        <v>0</v>
      </c>
      <c r="T85" s="38" t="e">
        <f t="shared" ca="1" si="25"/>
        <v>#NAME?</v>
      </c>
    </row>
    <row r="86" spans="1:20" ht="20.25" customHeight="1">
      <c r="A86" s="62"/>
      <c r="B86" s="6">
        <f t="shared" si="15"/>
        <v>58897</v>
      </c>
      <c r="C86" s="117" t="str">
        <f t="shared" si="16"/>
        <v/>
      </c>
      <c r="D86" s="131">
        <f t="shared" si="17"/>
        <v>25400.25</v>
      </c>
      <c r="E86" s="131">
        <f t="shared" si="28"/>
        <v>25400.25</v>
      </c>
      <c r="F86" s="138" t="e">
        <f t="shared" ca="1" si="18"/>
        <v>#NAME?</v>
      </c>
      <c r="G86" s="132" t="e">
        <f t="shared" ca="1" si="26"/>
        <v>#NAME?</v>
      </c>
      <c r="H86" s="132" t="e">
        <f t="shared" ca="1" si="27"/>
        <v>#NAME?</v>
      </c>
      <c r="I86" s="9" t="e">
        <f t="shared" ca="1" si="19"/>
        <v>#NAME?</v>
      </c>
      <c r="J86" s="66"/>
      <c r="K86" s="11"/>
      <c r="L86" s="11"/>
      <c r="M86" s="6">
        <f t="shared" si="20"/>
        <v>58715</v>
      </c>
      <c r="N86" s="40" t="s">
        <v>163</v>
      </c>
      <c r="O86" s="38">
        <f t="shared" si="21"/>
        <v>0</v>
      </c>
      <c r="P86" s="38" t="e">
        <f t="shared" ca="1" si="29"/>
        <v>#NAME?</v>
      </c>
      <c r="Q86" s="38" t="e">
        <f t="shared" ca="1" si="22"/>
        <v>#NAME?</v>
      </c>
      <c r="R86" s="38" t="e">
        <f t="shared" ca="1" si="23"/>
        <v>#NAME?</v>
      </c>
      <c r="S86" s="38">
        <f t="shared" si="24"/>
        <v>0</v>
      </c>
      <c r="T86" s="38" t="e">
        <f t="shared" ca="1" si="25"/>
        <v>#NAME?</v>
      </c>
    </row>
    <row r="87" spans="1:20" ht="20.25" customHeight="1">
      <c r="A87" s="62"/>
      <c r="B87" s="6">
        <f t="shared" si="15"/>
        <v>59080</v>
      </c>
      <c r="C87" s="117" t="str">
        <f t="shared" si="16"/>
        <v/>
      </c>
      <c r="D87" s="131">
        <f t="shared" si="17"/>
        <v>25400.25</v>
      </c>
      <c r="E87" s="131">
        <f t="shared" si="28"/>
        <v>25400.25</v>
      </c>
      <c r="F87" s="138" t="e">
        <f t="shared" ca="1" si="18"/>
        <v>#NAME?</v>
      </c>
      <c r="G87" s="132" t="e">
        <f t="shared" ca="1" si="26"/>
        <v>#NAME?</v>
      </c>
      <c r="H87" s="132" t="e">
        <f t="shared" ca="1" si="27"/>
        <v>#NAME?</v>
      </c>
      <c r="I87" s="9" t="e">
        <f t="shared" ca="1" si="19"/>
        <v>#NAME?</v>
      </c>
      <c r="J87" s="66"/>
      <c r="K87" s="11"/>
      <c r="L87" s="11"/>
      <c r="M87" s="6">
        <f t="shared" si="20"/>
        <v>58897</v>
      </c>
      <c r="N87" s="40" t="s">
        <v>164</v>
      </c>
      <c r="O87" s="38">
        <f t="shared" si="21"/>
        <v>0</v>
      </c>
      <c r="P87" s="38" t="e">
        <f t="shared" ca="1" si="29"/>
        <v>#NAME?</v>
      </c>
      <c r="Q87" s="38" t="e">
        <f t="shared" ca="1" si="22"/>
        <v>#NAME?</v>
      </c>
      <c r="R87" s="38" t="e">
        <f t="shared" ca="1" si="23"/>
        <v>#NAME?</v>
      </c>
      <c r="S87" s="38">
        <f t="shared" si="24"/>
        <v>0</v>
      </c>
      <c r="T87" s="38" t="e">
        <f t="shared" ca="1" si="25"/>
        <v>#NAME?</v>
      </c>
    </row>
    <row r="88" spans="1:20" ht="20.25" customHeight="1">
      <c r="A88" s="62"/>
      <c r="B88" s="6">
        <f t="shared" si="15"/>
        <v>59262</v>
      </c>
      <c r="C88" s="117" t="str">
        <f t="shared" si="16"/>
        <v/>
      </c>
      <c r="D88" s="131">
        <f t="shared" si="17"/>
        <v>25400.25</v>
      </c>
      <c r="E88" s="131">
        <f t="shared" si="28"/>
        <v>25400.25</v>
      </c>
      <c r="F88" s="138" t="e">
        <f t="shared" ca="1" si="18"/>
        <v>#NAME?</v>
      </c>
      <c r="G88" s="132" t="e">
        <f t="shared" ca="1" si="26"/>
        <v>#NAME?</v>
      </c>
      <c r="H88" s="132" t="e">
        <f t="shared" ca="1" si="27"/>
        <v>#NAME?</v>
      </c>
      <c r="I88" s="9" t="e">
        <f t="shared" ca="1" si="19"/>
        <v>#NAME?</v>
      </c>
      <c r="J88" s="66"/>
      <c r="K88" s="11"/>
      <c r="L88" s="11"/>
      <c r="M88" s="6">
        <f t="shared" si="20"/>
        <v>59080</v>
      </c>
      <c r="N88" s="40" t="s">
        <v>165</v>
      </c>
      <c r="O88" s="38">
        <f t="shared" si="21"/>
        <v>0</v>
      </c>
      <c r="P88" s="38" t="e">
        <f t="shared" ca="1" si="29"/>
        <v>#NAME?</v>
      </c>
      <c r="Q88" s="38" t="e">
        <f t="shared" ca="1" si="22"/>
        <v>#NAME?</v>
      </c>
      <c r="R88" s="38" t="e">
        <f t="shared" ca="1" si="23"/>
        <v>#NAME?</v>
      </c>
      <c r="S88" s="38">
        <f t="shared" si="24"/>
        <v>0</v>
      </c>
      <c r="T88" s="38" t="e">
        <f t="shared" ca="1" si="25"/>
        <v>#NAME?</v>
      </c>
    </row>
    <row r="89" spans="1:20" ht="20.25" customHeight="1">
      <c r="A89" s="62"/>
      <c r="B89" s="6">
        <f t="shared" si="15"/>
        <v>59445</v>
      </c>
      <c r="C89" s="117" t="str">
        <f t="shared" si="16"/>
        <v/>
      </c>
      <c r="D89" s="131">
        <f t="shared" si="17"/>
        <v>25400.25</v>
      </c>
      <c r="E89" s="131">
        <f t="shared" si="28"/>
        <v>25400.25</v>
      </c>
      <c r="F89" s="138" t="e">
        <f t="shared" ca="1" si="18"/>
        <v>#NAME?</v>
      </c>
      <c r="G89" s="132" t="e">
        <f t="shared" ca="1" si="26"/>
        <v>#NAME?</v>
      </c>
      <c r="H89" s="132" t="e">
        <f t="shared" ca="1" si="27"/>
        <v>#NAME?</v>
      </c>
      <c r="I89" s="9" t="e">
        <f t="shared" ca="1" si="19"/>
        <v>#NAME?</v>
      </c>
      <c r="J89" s="66"/>
      <c r="K89" s="11"/>
      <c r="L89" s="11"/>
      <c r="M89" s="6">
        <f t="shared" si="20"/>
        <v>59262</v>
      </c>
      <c r="N89" s="40" t="s">
        <v>166</v>
      </c>
      <c r="O89" s="38">
        <f t="shared" si="21"/>
        <v>0</v>
      </c>
      <c r="P89" s="38" t="e">
        <f t="shared" ca="1" si="29"/>
        <v>#NAME?</v>
      </c>
      <c r="Q89" s="38" t="e">
        <f t="shared" ca="1" si="22"/>
        <v>#NAME?</v>
      </c>
      <c r="R89" s="38" t="e">
        <f t="shared" ca="1" si="23"/>
        <v>#NAME?</v>
      </c>
      <c r="S89" s="38">
        <f t="shared" si="24"/>
        <v>0</v>
      </c>
      <c r="T89" s="38" t="e">
        <f t="shared" ca="1" si="25"/>
        <v>#NAME?</v>
      </c>
    </row>
    <row r="90" spans="1:20" ht="20.25" customHeight="1">
      <c r="A90" s="62"/>
      <c r="B90" s="6">
        <f t="shared" si="15"/>
        <v>59627</v>
      </c>
      <c r="C90" s="117" t="str">
        <f t="shared" si="16"/>
        <v/>
      </c>
      <c r="D90" s="131">
        <f t="shared" si="17"/>
        <v>25400.25</v>
      </c>
      <c r="E90" s="131">
        <f t="shared" si="28"/>
        <v>25400.25</v>
      </c>
      <c r="F90" s="138" t="e">
        <f t="shared" ca="1" si="18"/>
        <v>#NAME?</v>
      </c>
      <c r="G90" s="132" t="e">
        <f t="shared" ca="1" si="26"/>
        <v>#NAME?</v>
      </c>
      <c r="H90" s="132" t="e">
        <f t="shared" ca="1" si="27"/>
        <v>#NAME?</v>
      </c>
      <c r="I90" s="9" t="e">
        <f t="shared" ca="1" si="19"/>
        <v>#NAME?</v>
      </c>
      <c r="J90" s="66"/>
      <c r="K90" s="11"/>
      <c r="L90" s="11"/>
      <c r="M90" s="6">
        <f t="shared" si="20"/>
        <v>59445</v>
      </c>
      <c r="N90" s="40" t="s">
        <v>167</v>
      </c>
      <c r="O90" s="38">
        <f t="shared" si="21"/>
        <v>0</v>
      </c>
      <c r="P90" s="38" t="e">
        <f t="shared" ca="1" si="29"/>
        <v>#NAME?</v>
      </c>
      <c r="Q90" s="38" t="e">
        <f t="shared" ca="1" si="22"/>
        <v>#NAME?</v>
      </c>
      <c r="R90" s="38" t="e">
        <f t="shared" ca="1" si="23"/>
        <v>#NAME?</v>
      </c>
      <c r="S90" s="38">
        <f t="shared" si="24"/>
        <v>0</v>
      </c>
      <c r="T90" s="38" t="e">
        <f t="shared" ca="1" si="25"/>
        <v>#NAME?</v>
      </c>
    </row>
    <row r="91" spans="1:20" ht="20.25" customHeight="1">
      <c r="A91" s="62"/>
      <c r="B91" s="6">
        <f t="shared" si="15"/>
        <v>59810</v>
      </c>
      <c r="C91" s="117" t="str">
        <f t="shared" si="16"/>
        <v/>
      </c>
      <c r="D91" s="131">
        <f t="shared" si="17"/>
        <v>25400.25</v>
      </c>
      <c r="E91" s="131">
        <f t="shared" si="28"/>
        <v>25400.25</v>
      </c>
      <c r="F91" s="138" t="e">
        <f t="shared" ca="1" si="18"/>
        <v>#NAME?</v>
      </c>
      <c r="G91" s="132" t="e">
        <f t="shared" ca="1" si="26"/>
        <v>#NAME?</v>
      </c>
      <c r="H91" s="132" t="e">
        <f t="shared" ca="1" si="27"/>
        <v>#NAME?</v>
      </c>
      <c r="I91" s="9" t="e">
        <f t="shared" ca="1" si="19"/>
        <v>#NAME?</v>
      </c>
      <c r="J91" s="66"/>
      <c r="K91" s="11"/>
      <c r="L91" s="11"/>
      <c r="M91" s="6">
        <f t="shared" si="20"/>
        <v>59627</v>
      </c>
      <c r="N91" s="40" t="s">
        <v>168</v>
      </c>
      <c r="O91" s="38">
        <f t="shared" si="21"/>
        <v>0</v>
      </c>
      <c r="P91" s="38" t="e">
        <f t="shared" ca="1" si="29"/>
        <v>#NAME?</v>
      </c>
      <c r="Q91" s="38" t="e">
        <f t="shared" ca="1" si="22"/>
        <v>#NAME?</v>
      </c>
      <c r="R91" s="38" t="e">
        <f t="shared" ca="1" si="23"/>
        <v>#NAME?</v>
      </c>
      <c r="S91" s="38">
        <f t="shared" si="24"/>
        <v>0</v>
      </c>
      <c r="T91" s="38" t="e">
        <f t="shared" ca="1" si="25"/>
        <v>#NAME?</v>
      </c>
    </row>
    <row r="92" spans="1:20" ht="20.25" customHeight="1">
      <c r="A92" s="62"/>
      <c r="B92" s="6">
        <f t="shared" si="15"/>
        <v>59993</v>
      </c>
      <c r="C92" s="117" t="str">
        <f t="shared" si="16"/>
        <v/>
      </c>
      <c r="D92" s="131">
        <f t="shared" si="17"/>
        <v>25400.25</v>
      </c>
      <c r="E92" s="131">
        <f t="shared" si="28"/>
        <v>25400.25</v>
      </c>
      <c r="F92" s="138" t="e">
        <f t="shared" ca="1" si="18"/>
        <v>#NAME?</v>
      </c>
      <c r="G92" s="132" t="e">
        <f t="shared" ca="1" si="26"/>
        <v>#NAME?</v>
      </c>
      <c r="H92" s="132" t="e">
        <f t="shared" ca="1" si="27"/>
        <v>#NAME?</v>
      </c>
      <c r="I92" s="9" t="e">
        <f t="shared" ca="1" si="19"/>
        <v>#NAME?</v>
      </c>
      <c r="J92" s="66"/>
      <c r="K92" s="11"/>
      <c r="L92" s="11"/>
      <c r="M92" s="6">
        <f t="shared" si="20"/>
        <v>59810</v>
      </c>
      <c r="N92" s="40" t="s">
        <v>169</v>
      </c>
      <c r="O92" s="38">
        <f t="shared" si="21"/>
        <v>0</v>
      </c>
      <c r="P92" s="38" t="e">
        <f t="shared" ca="1" si="29"/>
        <v>#NAME?</v>
      </c>
      <c r="Q92" s="38" t="e">
        <f t="shared" ca="1" si="22"/>
        <v>#NAME?</v>
      </c>
      <c r="R92" s="38" t="e">
        <f t="shared" ca="1" si="23"/>
        <v>#NAME?</v>
      </c>
      <c r="S92" s="38">
        <f t="shared" si="24"/>
        <v>0</v>
      </c>
      <c r="T92" s="38" t="e">
        <f t="shared" ca="1" si="25"/>
        <v>#NAME?</v>
      </c>
    </row>
    <row r="93" spans="1:20" ht="20.25" customHeight="1">
      <c r="A93" s="62"/>
      <c r="B93" s="6">
        <f t="shared" si="15"/>
        <v>60176</v>
      </c>
      <c r="C93" s="117" t="str">
        <f t="shared" si="16"/>
        <v/>
      </c>
      <c r="D93" s="131">
        <f t="shared" si="17"/>
        <v>25400.25</v>
      </c>
      <c r="E93" s="131">
        <f t="shared" si="28"/>
        <v>25400.25</v>
      </c>
      <c r="F93" s="138" t="e">
        <f t="shared" ca="1" si="18"/>
        <v>#NAME?</v>
      </c>
      <c r="G93" s="132" t="e">
        <f t="shared" ca="1" si="26"/>
        <v>#NAME?</v>
      </c>
      <c r="H93" s="132" t="e">
        <f t="shared" ca="1" si="27"/>
        <v>#NAME?</v>
      </c>
      <c r="I93" s="9" t="e">
        <f t="shared" ca="1" si="19"/>
        <v>#NAME?</v>
      </c>
      <c r="J93" s="66"/>
      <c r="K93" s="11"/>
      <c r="L93" s="11"/>
      <c r="M93" s="6">
        <f t="shared" si="20"/>
        <v>59993</v>
      </c>
      <c r="N93" s="40" t="s">
        <v>170</v>
      </c>
      <c r="O93" s="38">
        <f t="shared" si="21"/>
        <v>0</v>
      </c>
      <c r="P93" s="38" t="e">
        <f t="shared" ca="1" si="29"/>
        <v>#NAME?</v>
      </c>
      <c r="Q93" s="38" t="e">
        <f t="shared" ca="1" si="22"/>
        <v>#NAME?</v>
      </c>
      <c r="R93" s="38" t="e">
        <f t="shared" ca="1" si="23"/>
        <v>#NAME?</v>
      </c>
      <c r="S93" s="38">
        <f t="shared" si="24"/>
        <v>0</v>
      </c>
      <c r="T93" s="38" t="e">
        <f t="shared" ca="1" si="25"/>
        <v>#NAME?</v>
      </c>
    </row>
    <row r="94" spans="1:20" ht="20.25" customHeight="1">
      <c r="A94" s="62"/>
      <c r="B94" s="6">
        <f t="shared" si="15"/>
        <v>60358</v>
      </c>
      <c r="C94" s="117" t="str">
        <f t="shared" si="16"/>
        <v/>
      </c>
      <c r="D94" s="131">
        <f t="shared" si="17"/>
        <v>25400.25</v>
      </c>
      <c r="E94" s="131">
        <f t="shared" si="28"/>
        <v>25400.25</v>
      </c>
      <c r="F94" s="138" t="e">
        <f t="shared" ca="1" si="18"/>
        <v>#NAME?</v>
      </c>
      <c r="G94" s="132" t="e">
        <f t="shared" ca="1" si="26"/>
        <v>#NAME?</v>
      </c>
      <c r="H94" s="132" t="e">
        <f t="shared" ca="1" si="27"/>
        <v>#NAME?</v>
      </c>
      <c r="I94" s="9" t="e">
        <f t="shared" ca="1" si="19"/>
        <v>#NAME?</v>
      </c>
      <c r="J94" s="66"/>
      <c r="K94" s="11"/>
      <c r="L94" s="11"/>
      <c r="M94" s="6">
        <f t="shared" si="20"/>
        <v>60176</v>
      </c>
      <c r="N94" s="40" t="s">
        <v>171</v>
      </c>
      <c r="O94" s="38">
        <f t="shared" si="21"/>
        <v>0</v>
      </c>
      <c r="P94" s="38" t="e">
        <f t="shared" ca="1" si="29"/>
        <v>#NAME?</v>
      </c>
      <c r="Q94" s="38" t="e">
        <f t="shared" ca="1" si="22"/>
        <v>#NAME?</v>
      </c>
      <c r="R94" s="38" t="e">
        <f t="shared" ca="1" si="23"/>
        <v>#NAME?</v>
      </c>
      <c r="S94" s="38">
        <f t="shared" si="24"/>
        <v>0</v>
      </c>
      <c r="T94" s="38" t="e">
        <f t="shared" ca="1" si="25"/>
        <v>#NAME?</v>
      </c>
    </row>
    <row r="95" spans="1:20" ht="20.25" customHeight="1">
      <c r="A95" s="62"/>
      <c r="B95" s="6">
        <f t="shared" si="15"/>
        <v>60541</v>
      </c>
      <c r="C95" s="117" t="str">
        <f t="shared" si="16"/>
        <v/>
      </c>
      <c r="D95" s="131">
        <f t="shared" si="17"/>
        <v>25400.25</v>
      </c>
      <c r="E95" s="131">
        <f t="shared" si="28"/>
        <v>25400.25</v>
      </c>
      <c r="F95" s="138" t="e">
        <f t="shared" ca="1" si="18"/>
        <v>#NAME?</v>
      </c>
      <c r="G95" s="132" t="e">
        <f t="shared" ca="1" si="26"/>
        <v>#NAME?</v>
      </c>
      <c r="H95" s="132" t="e">
        <f t="shared" ca="1" si="27"/>
        <v>#NAME?</v>
      </c>
      <c r="I95" s="9" t="e">
        <f t="shared" ca="1" si="19"/>
        <v>#NAME?</v>
      </c>
      <c r="J95" s="66"/>
      <c r="K95" s="11"/>
      <c r="L95" s="11"/>
      <c r="M95" s="6">
        <f t="shared" si="20"/>
        <v>60358</v>
      </c>
      <c r="N95" s="40" t="s">
        <v>172</v>
      </c>
      <c r="O95" s="38">
        <f t="shared" si="21"/>
        <v>0</v>
      </c>
      <c r="P95" s="38" t="e">
        <f t="shared" ca="1" si="29"/>
        <v>#NAME?</v>
      </c>
      <c r="Q95" s="38" t="e">
        <f t="shared" ca="1" si="22"/>
        <v>#NAME?</v>
      </c>
      <c r="R95" s="38" t="e">
        <f t="shared" ca="1" si="23"/>
        <v>#NAME?</v>
      </c>
      <c r="S95" s="38">
        <f t="shared" si="24"/>
        <v>0</v>
      </c>
      <c r="T95" s="38" t="e">
        <f t="shared" ca="1" si="25"/>
        <v>#NAME?</v>
      </c>
    </row>
    <row r="96" spans="1:20" ht="20.25" customHeight="1">
      <c r="A96" s="62"/>
      <c r="B96" s="6">
        <f t="shared" si="15"/>
        <v>60723</v>
      </c>
      <c r="C96" s="117" t="str">
        <f t="shared" si="16"/>
        <v/>
      </c>
      <c r="D96" s="131">
        <f t="shared" si="17"/>
        <v>25400.25</v>
      </c>
      <c r="E96" s="131">
        <f t="shared" si="28"/>
        <v>25400.25</v>
      </c>
      <c r="F96" s="138" t="e">
        <f t="shared" ca="1" si="18"/>
        <v>#NAME?</v>
      </c>
      <c r="G96" s="132" t="e">
        <f t="shared" ca="1" si="26"/>
        <v>#NAME?</v>
      </c>
      <c r="H96" s="132" t="e">
        <f t="shared" ca="1" si="27"/>
        <v>#NAME?</v>
      </c>
      <c r="I96" s="9" t="e">
        <f t="shared" ca="1" si="19"/>
        <v>#NAME?</v>
      </c>
      <c r="J96" s="66"/>
      <c r="K96" s="11"/>
      <c r="L96" s="11"/>
      <c r="M96" s="6">
        <f t="shared" si="20"/>
        <v>60541</v>
      </c>
      <c r="N96" s="40" t="s">
        <v>173</v>
      </c>
      <c r="O96" s="38">
        <f t="shared" si="21"/>
        <v>0</v>
      </c>
      <c r="P96" s="38" t="e">
        <f t="shared" ca="1" si="29"/>
        <v>#NAME?</v>
      </c>
      <c r="Q96" s="38" t="e">
        <f t="shared" ca="1" si="22"/>
        <v>#NAME?</v>
      </c>
      <c r="R96" s="38" t="e">
        <f t="shared" ca="1" si="23"/>
        <v>#NAME?</v>
      </c>
      <c r="S96" s="38">
        <f t="shared" si="24"/>
        <v>0</v>
      </c>
      <c r="T96" s="38" t="e">
        <f t="shared" ca="1" si="25"/>
        <v>#NAME?</v>
      </c>
    </row>
    <row r="97" spans="1:20" ht="20.25" customHeight="1">
      <c r="A97" s="62"/>
      <c r="B97" s="6">
        <f t="shared" si="15"/>
        <v>60906</v>
      </c>
      <c r="C97" s="117" t="str">
        <f t="shared" si="16"/>
        <v/>
      </c>
      <c r="D97" s="131">
        <f t="shared" si="17"/>
        <v>25400.25</v>
      </c>
      <c r="E97" s="131">
        <f t="shared" si="28"/>
        <v>25400.25</v>
      </c>
      <c r="F97" s="138" t="e">
        <f t="shared" ca="1" si="18"/>
        <v>#NAME?</v>
      </c>
      <c r="G97" s="132" t="e">
        <f t="shared" ca="1" si="26"/>
        <v>#NAME?</v>
      </c>
      <c r="H97" s="132" t="e">
        <f t="shared" ca="1" si="27"/>
        <v>#NAME?</v>
      </c>
      <c r="I97" s="9" t="e">
        <f t="shared" ca="1" si="19"/>
        <v>#NAME?</v>
      </c>
      <c r="J97" s="66"/>
      <c r="K97" s="11"/>
      <c r="L97" s="11"/>
      <c r="M97" s="6">
        <f t="shared" si="20"/>
        <v>60723</v>
      </c>
      <c r="N97" s="40" t="s">
        <v>174</v>
      </c>
      <c r="O97" s="38">
        <f t="shared" si="21"/>
        <v>0</v>
      </c>
      <c r="P97" s="38" t="e">
        <f t="shared" ca="1" si="29"/>
        <v>#NAME?</v>
      </c>
      <c r="Q97" s="38" t="e">
        <f t="shared" ca="1" si="22"/>
        <v>#NAME?</v>
      </c>
      <c r="R97" s="38" t="e">
        <f t="shared" ca="1" si="23"/>
        <v>#NAME?</v>
      </c>
      <c r="S97" s="38">
        <f t="shared" si="24"/>
        <v>0</v>
      </c>
      <c r="T97" s="38" t="e">
        <f t="shared" ca="1" si="25"/>
        <v>#NAME?</v>
      </c>
    </row>
    <row r="98" spans="1:20" ht="20.25" customHeight="1">
      <c r="A98" s="62"/>
      <c r="B98" s="6">
        <f t="shared" si="15"/>
        <v>61088</v>
      </c>
      <c r="C98" s="117" t="str">
        <f t="shared" si="16"/>
        <v/>
      </c>
      <c r="D98" s="131">
        <f t="shared" si="17"/>
        <v>25400.25</v>
      </c>
      <c r="E98" s="131">
        <f t="shared" si="28"/>
        <v>25400.25</v>
      </c>
      <c r="F98" s="138" t="e">
        <f t="shared" ca="1" si="18"/>
        <v>#NAME?</v>
      </c>
      <c r="G98" s="132" t="e">
        <f t="shared" ca="1" si="26"/>
        <v>#NAME?</v>
      </c>
      <c r="H98" s="132" t="e">
        <f t="shared" ca="1" si="27"/>
        <v>#NAME?</v>
      </c>
      <c r="I98" s="9" t="e">
        <f t="shared" ca="1" si="19"/>
        <v>#NAME?</v>
      </c>
      <c r="J98" s="66"/>
      <c r="K98" s="11"/>
      <c r="L98" s="11"/>
      <c r="M98" s="6">
        <f t="shared" si="20"/>
        <v>60906</v>
      </c>
      <c r="N98" s="40" t="s">
        <v>175</v>
      </c>
      <c r="O98" s="38">
        <f t="shared" si="21"/>
        <v>0</v>
      </c>
      <c r="P98" s="38" t="e">
        <f t="shared" ca="1" si="29"/>
        <v>#NAME?</v>
      </c>
      <c r="Q98" s="38" t="e">
        <f t="shared" ca="1" si="22"/>
        <v>#NAME?</v>
      </c>
      <c r="R98" s="38" t="e">
        <f t="shared" ca="1" si="23"/>
        <v>#NAME?</v>
      </c>
      <c r="S98" s="38">
        <f t="shared" si="24"/>
        <v>0</v>
      </c>
      <c r="T98" s="38" t="e">
        <f t="shared" ca="1" si="25"/>
        <v>#NAME?</v>
      </c>
    </row>
    <row r="99" spans="1:20" ht="20.25" customHeight="1">
      <c r="A99" s="62"/>
      <c r="B99" s="6">
        <f t="shared" si="15"/>
        <v>61271</v>
      </c>
      <c r="C99" s="117" t="str">
        <f t="shared" si="16"/>
        <v/>
      </c>
      <c r="D99" s="131">
        <f t="shared" si="17"/>
        <v>25400.25</v>
      </c>
      <c r="E99" s="131">
        <f t="shared" si="28"/>
        <v>25400.25</v>
      </c>
      <c r="F99" s="138" t="e">
        <f t="shared" ca="1" si="18"/>
        <v>#NAME?</v>
      </c>
      <c r="G99" s="132" t="e">
        <f t="shared" ca="1" si="26"/>
        <v>#NAME?</v>
      </c>
      <c r="H99" s="132" t="e">
        <f t="shared" ca="1" si="27"/>
        <v>#NAME?</v>
      </c>
      <c r="I99" s="9" t="e">
        <f t="shared" ca="1" si="19"/>
        <v>#NAME?</v>
      </c>
      <c r="J99" s="66"/>
      <c r="K99" s="11"/>
      <c r="L99" s="11"/>
      <c r="M99" s="6">
        <f t="shared" si="20"/>
        <v>61088</v>
      </c>
      <c r="N99" s="40" t="s">
        <v>176</v>
      </c>
      <c r="O99" s="38">
        <f t="shared" si="21"/>
        <v>0</v>
      </c>
      <c r="P99" s="38" t="e">
        <f t="shared" ca="1" si="29"/>
        <v>#NAME?</v>
      </c>
      <c r="Q99" s="38" t="e">
        <f t="shared" ca="1" si="22"/>
        <v>#NAME?</v>
      </c>
      <c r="R99" s="38" t="e">
        <f t="shared" ca="1" si="23"/>
        <v>#NAME?</v>
      </c>
      <c r="S99" s="38">
        <f t="shared" si="24"/>
        <v>0</v>
      </c>
      <c r="T99" s="38" t="e">
        <f t="shared" ca="1" si="25"/>
        <v>#NAME?</v>
      </c>
    </row>
    <row r="100" spans="1:20" ht="20.25" customHeight="1">
      <c r="A100" s="62"/>
      <c r="B100" s="6">
        <f t="shared" si="15"/>
        <v>61454</v>
      </c>
      <c r="C100" s="117" t="str">
        <f t="shared" si="16"/>
        <v/>
      </c>
      <c r="D100" s="131">
        <f t="shared" si="17"/>
        <v>25400.25</v>
      </c>
      <c r="E100" s="131">
        <f t="shared" si="28"/>
        <v>25400.25</v>
      </c>
      <c r="F100" s="138" t="e">
        <f t="shared" ca="1" si="18"/>
        <v>#NAME?</v>
      </c>
      <c r="G100" s="132" t="e">
        <f t="shared" ca="1" si="26"/>
        <v>#NAME?</v>
      </c>
      <c r="H100" s="132" t="e">
        <f t="shared" ca="1" si="27"/>
        <v>#NAME?</v>
      </c>
      <c r="I100" s="9" t="e">
        <f t="shared" ca="1" si="19"/>
        <v>#NAME?</v>
      </c>
      <c r="J100" s="66"/>
      <c r="K100" s="11"/>
      <c r="L100" s="11"/>
      <c r="M100" s="6">
        <f t="shared" si="20"/>
        <v>61271</v>
      </c>
      <c r="N100" s="40" t="s">
        <v>177</v>
      </c>
      <c r="O100" s="38">
        <f t="shared" si="21"/>
        <v>0</v>
      </c>
      <c r="P100" s="38" t="e">
        <f t="shared" ca="1" si="29"/>
        <v>#NAME?</v>
      </c>
      <c r="Q100" s="38" t="e">
        <f t="shared" ca="1" si="22"/>
        <v>#NAME?</v>
      </c>
      <c r="R100" s="38" t="e">
        <f t="shared" ca="1" si="23"/>
        <v>#NAME?</v>
      </c>
      <c r="S100" s="38">
        <f t="shared" si="24"/>
        <v>0</v>
      </c>
      <c r="T100" s="38" t="e">
        <f t="shared" ca="1" si="25"/>
        <v>#NAME?</v>
      </c>
    </row>
    <row r="101" spans="1:20" ht="20.25" customHeight="1">
      <c r="A101" s="62"/>
      <c r="B101" s="6">
        <f t="shared" si="15"/>
        <v>61637</v>
      </c>
      <c r="C101" s="117" t="str">
        <f t="shared" si="16"/>
        <v/>
      </c>
      <c r="D101" s="131">
        <f t="shared" si="17"/>
        <v>25400.25</v>
      </c>
      <c r="E101" s="131">
        <f t="shared" si="28"/>
        <v>25400.25</v>
      </c>
      <c r="F101" s="138" t="e">
        <f t="shared" ca="1" si="18"/>
        <v>#NAME?</v>
      </c>
      <c r="G101" s="132" t="e">
        <f t="shared" ca="1" si="26"/>
        <v>#NAME?</v>
      </c>
      <c r="H101" s="132" t="e">
        <f t="shared" ca="1" si="27"/>
        <v>#NAME?</v>
      </c>
      <c r="I101" s="9" t="e">
        <f t="shared" ca="1" si="19"/>
        <v>#NAME?</v>
      </c>
      <c r="J101" s="66"/>
      <c r="K101" s="11"/>
      <c r="L101" s="11"/>
      <c r="M101" s="6">
        <f t="shared" si="20"/>
        <v>61454</v>
      </c>
      <c r="N101" s="40" t="s">
        <v>178</v>
      </c>
      <c r="O101" s="38">
        <f t="shared" si="21"/>
        <v>0</v>
      </c>
      <c r="P101" s="38" t="e">
        <f t="shared" ca="1" si="29"/>
        <v>#NAME?</v>
      </c>
      <c r="Q101" s="38" t="e">
        <f t="shared" ca="1" si="22"/>
        <v>#NAME?</v>
      </c>
      <c r="R101" s="38" t="e">
        <f t="shared" ca="1" si="23"/>
        <v>#NAME?</v>
      </c>
      <c r="S101" s="38">
        <f t="shared" si="24"/>
        <v>0</v>
      </c>
      <c r="T101" s="38" t="e">
        <f t="shared" ca="1" si="25"/>
        <v>#NAME?</v>
      </c>
    </row>
    <row r="102" spans="1:20" ht="20.25" customHeight="1">
      <c r="A102" s="62"/>
      <c r="B102" s="6">
        <f t="shared" si="15"/>
        <v>61819</v>
      </c>
      <c r="C102" s="117" t="str">
        <f t="shared" si="16"/>
        <v/>
      </c>
      <c r="D102" s="131">
        <f t="shared" si="17"/>
        <v>25400.25</v>
      </c>
      <c r="E102" s="131">
        <f t="shared" si="28"/>
        <v>25400.25</v>
      </c>
      <c r="F102" s="138" t="e">
        <f t="shared" ca="1" si="18"/>
        <v>#NAME?</v>
      </c>
      <c r="G102" s="132" t="e">
        <f t="shared" ca="1" si="26"/>
        <v>#NAME?</v>
      </c>
      <c r="H102" s="132" t="e">
        <f t="shared" ca="1" si="27"/>
        <v>#NAME?</v>
      </c>
      <c r="I102" s="9" t="e">
        <f t="shared" ca="1" si="19"/>
        <v>#NAME?</v>
      </c>
      <c r="J102" s="66"/>
      <c r="K102" s="11"/>
      <c r="L102" s="11"/>
      <c r="M102" s="6">
        <f t="shared" si="20"/>
        <v>61637</v>
      </c>
      <c r="N102" s="40" t="s">
        <v>179</v>
      </c>
      <c r="O102" s="38">
        <f t="shared" si="21"/>
        <v>0</v>
      </c>
      <c r="P102" s="38" t="e">
        <f t="shared" ca="1" si="29"/>
        <v>#NAME?</v>
      </c>
      <c r="Q102" s="38" t="e">
        <f t="shared" ca="1" si="22"/>
        <v>#NAME?</v>
      </c>
      <c r="R102" s="38" t="e">
        <f t="shared" ca="1" si="23"/>
        <v>#NAME?</v>
      </c>
      <c r="S102" s="38">
        <f t="shared" si="24"/>
        <v>0</v>
      </c>
      <c r="T102" s="38" t="e">
        <f t="shared" ca="1" si="25"/>
        <v>#NAME?</v>
      </c>
    </row>
    <row r="103" spans="1:20" ht="20.25" customHeight="1">
      <c r="A103" s="62"/>
      <c r="B103" s="6">
        <f t="shared" si="15"/>
        <v>62002</v>
      </c>
      <c r="C103" s="117" t="str">
        <f t="shared" si="16"/>
        <v/>
      </c>
      <c r="D103" s="131">
        <f t="shared" si="17"/>
        <v>25400.25</v>
      </c>
      <c r="E103" s="131">
        <f t="shared" si="28"/>
        <v>25400.25</v>
      </c>
      <c r="F103" s="138" t="e">
        <f t="shared" ca="1" si="18"/>
        <v>#NAME?</v>
      </c>
      <c r="G103" s="132" t="e">
        <f t="shared" ca="1" si="26"/>
        <v>#NAME?</v>
      </c>
      <c r="H103" s="132" t="e">
        <f t="shared" ca="1" si="27"/>
        <v>#NAME?</v>
      </c>
      <c r="I103" s="9" t="e">
        <f t="shared" ca="1" si="19"/>
        <v>#NAME?</v>
      </c>
      <c r="J103" s="66"/>
      <c r="K103" s="11"/>
      <c r="L103" s="11"/>
      <c r="M103" s="6">
        <f t="shared" si="20"/>
        <v>61819</v>
      </c>
      <c r="N103" s="40" t="s">
        <v>180</v>
      </c>
      <c r="O103" s="38">
        <f t="shared" si="21"/>
        <v>0</v>
      </c>
      <c r="P103" s="38" t="e">
        <f t="shared" ca="1" si="29"/>
        <v>#NAME?</v>
      </c>
      <c r="Q103" s="38" t="e">
        <f t="shared" ca="1" si="22"/>
        <v>#NAME?</v>
      </c>
      <c r="R103" s="38" t="e">
        <f t="shared" ca="1" si="23"/>
        <v>#NAME?</v>
      </c>
      <c r="S103" s="38">
        <f t="shared" si="24"/>
        <v>0</v>
      </c>
      <c r="T103" s="38" t="e">
        <f t="shared" ca="1" si="25"/>
        <v>#NAME?</v>
      </c>
    </row>
    <row r="104" spans="1:20" ht="20.25" customHeight="1">
      <c r="A104" s="62"/>
      <c r="B104" s="6">
        <f t="shared" si="15"/>
        <v>62184</v>
      </c>
      <c r="C104" s="117" t="str">
        <f t="shared" si="16"/>
        <v/>
      </c>
      <c r="D104" s="131">
        <f t="shared" si="17"/>
        <v>25400.25</v>
      </c>
      <c r="E104" s="131">
        <f t="shared" si="28"/>
        <v>25400.25</v>
      </c>
      <c r="F104" s="138" t="e">
        <f t="shared" ca="1" si="18"/>
        <v>#NAME?</v>
      </c>
      <c r="G104" s="132" t="e">
        <f t="shared" ca="1" si="26"/>
        <v>#NAME?</v>
      </c>
      <c r="H104" s="132" t="e">
        <f t="shared" ca="1" si="27"/>
        <v>#NAME?</v>
      </c>
      <c r="I104" s="9" t="e">
        <f t="shared" ca="1" si="19"/>
        <v>#NAME?</v>
      </c>
      <c r="J104" s="66"/>
      <c r="K104" s="11"/>
      <c r="L104" s="11"/>
      <c r="M104" s="6">
        <f t="shared" si="20"/>
        <v>62002</v>
      </c>
      <c r="N104" s="40" t="s">
        <v>181</v>
      </c>
      <c r="O104" s="38">
        <f t="shared" si="21"/>
        <v>0</v>
      </c>
      <c r="P104" s="38" t="e">
        <f t="shared" ca="1" si="29"/>
        <v>#NAME?</v>
      </c>
      <c r="Q104" s="38" t="e">
        <f t="shared" ca="1" si="22"/>
        <v>#NAME?</v>
      </c>
      <c r="R104" s="38" t="e">
        <f t="shared" ca="1" si="23"/>
        <v>#NAME?</v>
      </c>
      <c r="S104" s="38">
        <f t="shared" si="24"/>
        <v>0</v>
      </c>
      <c r="T104" s="38" t="e">
        <f t="shared" ca="1" si="25"/>
        <v>#NAME?</v>
      </c>
    </row>
    <row r="105" spans="1:20" ht="20.25" customHeight="1">
      <c r="A105" s="62"/>
      <c r="B105" s="6">
        <f t="shared" si="15"/>
        <v>62367</v>
      </c>
      <c r="C105" s="117" t="str">
        <f t="shared" si="16"/>
        <v/>
      </c>
      <c r="D105" s="131">
        <f t="shared" si="17"/>
        <v>25400.25</v>
      </c>
      <c r="E105" s="131">
        <f t="shared" si="28"/>
        <v>25400.25</v>
      </c>
      <c r="F105" s="138" t="e">
        <f t="shared" ca="1" si="18"/>
        <v>#NAME?</v>
      </c>
      <c r="G105" s="132" t="e">
        <f t="shared" ca="1" si="26"/>
        <v>#NAME?</v>
      </c>
      <c r="H105" s="132" t="e">
        <f t="shared" ca="1" si="27"/>
        <v>#NAME?</v>
      </c>
      <c r="I105" s="9" t="e">
        <f t="shared" ca="1" si="19"/>
        <v>#NAME?</v>
      </c>
      <c r="J105" s="66"/>
      <c r="K105" s="11"/>
      <c r="L105" s="11"/>
      <c r="M105" s="6">
        <f t="shared" si="20"/>
        <v>62184</v>
      </c>
      <c r="N105" s="40" t="s">
        <v>182</v>
      </c>
      <c r="O105" s="38">
        <f t="shared" si="21"/>
        <v>0</v>
      </c>
      <c r="P105" s="38" t="e">
        <f t="shared" ca="1" si="29"/>
        <v>#NAME?</v>
      </c>
      <c r="Q105" s="38" t="e">
        <f t="shared" ca="1" si="22"/>
        <v>#NAME?</v>
      </c>
      <c r="R105" s="38" t="e">
        <f t="shared" ca="1" si="23"/>
        <v>#NAME?</v>
      </c>
      <c r="S105" s="38">
        <f t="shared" si="24"/>
        <v>0</v>
      </c>
      <c r="T105" s="38" t="e">
        <f t="shared" ca="1" si="25"/>
        <v>#NAME?</v>
      </c>
    </row>
    <row r="106" spans="1:20" ht="20.25" customHeight="1">
      <c r="A106" s="62"/>
      <c r="B106" s="6">
        <f t="shared" si="15"/>
        <v>62549</v>
      </c>
      <c r="C106" s="117" t="str">
        <f t="shared" si="16"/>
        <v/>
      </c>
      <c r="D106" s="131">
        <f t="shared" si="17"/>
        <v>25400.25</v>
      </c>
      <c r="E106" s="131">
        <f t="shared" si="28"/>
        <v>25400.25</v>
      </c>
      <c r="F106" s="138" t="e">
        <f t="shared" ca="1" si="18"/>
        <v>#NAME?</v>
      </c>
      <c r="G106" s="132" t="e">
        <f t="shared" ca="1" si="26"/>
        <v>#NAME?</v>
      </c>
      <c r="H106" s="132" t="e">
        <f t="shared" ca="1" si="27"/>
        <v>#NAME?</v>
      </c>
      <c r="I106" s="9" t="e">
        <f t="shared" ca="1" si="19"/>
        <v>#NAME?</v>
      </c>
      <c r="J106" s="66"/>
      <c r="K106" s="11"/>
      <c r="L106" s="11"/>
      <c r="M106" s="6">
        <f t="shared" si="20"/>
        <v>62367</v>
      </c>
      <c r="N106" s="40" t="s">
        <v>183</v>
      </c>
      <c r="O106" s="38">
        <f t="shared" si="21"/>
        <v>0</v>
      </c>
      <c r="P106" s="38" t="e">
        <f t="shared" ca="1" si="29"/>
        <v>#NAME?</v>
      </c>
      <c r="Q106" s="38" t="e">
        <f t="shared" ca="1" si="22"/>
        <v>#NAME?</v>
      </c>
      <c r="R106" s="38" t="e">
        <f t="shared" ca="1" si="23"/>
        <v>#NAME?</v>
      </c>
      <c r="S106" s="38">
        <f t="shared" si="24"/>
        <v>0</v>
      </c>
      <c r="T106" s="38" t="e">
        <f t="shared" ca="1" si="25"/>
        <v>#NAME?</v>
      </c>
    </row>
    <row r="107" spans="1:20" ht="20.25" customHeight="1">
      <c r="A107" s="62"/>
      <c r="B107" s="6">
        <f t="shared" si="15"/>
        <v>62732</v>
      </c>
      <c r="C107" s="117" t="str">
        <f t="shared" si="16"/>
        <v/>
      </c>
      <c r="D107" s="131">
        <f t="shared" si="17"/>
        <v>25400.25</v>
      </c>
      <c r="E107" s="131">
        <f t="shared" si="28"/>
        <v>25400.25</v>
      </c>
      <c r="F107" s="138" t="e">
        <f t="shared" ca="1" si="18"/>
        <v>#NAME?</v>
      </c>
      <c r="G107" s="132" t="e">
        <f t="shared" ca="1" si="26"/>
        <v>#NAME?</v>
      </c>
      <c r="H107" s="132" t="e">
        <f t="shared" ca="1" si="27"/>
        <v>#NAME?</v>
      </c>
      <c r="I107" s="9" t="e">
        <f t="shared" ca="1" si="19"/>
        <v>#NAME?</v>
      </c>
      <c r="J107" s="66"/>
      <c r="K107" s="11"/>
      <c r="L107" s="11"/>
      <c r="M107" s="6">
        <f t="shared" si="20"/>
        <v>62549</v>
      </c>
      <c r="N107" s="40" t="s">
        <v>184</v>
      </c>
      <c r="O107" s="38">
        <f t="shared" si="21"/>
        <v>0</v>
      </c>
      <c r="P107" s="38" t="e">
        <f t="shared" ca="1" si="29"/>
        <v>#NAME?</v>
      </c>
      <c r="Q107" s="38" t="e">
        <f t="shared" ca="1" si="22"/>
        <v>#NAME?</v>
      </c>
      <c r="R107" s="38" t="e">
        <f t="shared" ca="1" si="23"/>
        <v>#NAME?</v>
      </c>
      <c r="S107" s="38">
        <f t="shared" si="24"/>
        <v>0</v>
      </c>
      <c r="T107" s="38" t="e">
        <f t="shared" ca="1" si="25"/>
        <v>#NAME?</v>
      </c>
    </row>
    <row r="108" spans="1:20" ht="20.25" customHeight="1">
      <c r="A108" s="62"/>
      <c r="B108" s="6">
        <f t="shared" si="15"/>
        <v>62915</v>
      </c>
      <c r="C108" s="117" t="str">
        <f t="shared" si="16"/>
        <v/>
      </c>
      <c r="D108" s="131">
        <f t="shared" si="17"/>
        <v>25400.25</v>
      </c>
      <c r="E108" s="131">
        <f t="shared" si="28"/>
        <v>25400.25</v>
      </c>
      <c r="F108" s="138" t="e">
        <f t="shared" ca="1" si="18"/>
        <v>#NAME?</v>
      </c>
      <c r="G108" s="132" t="e">
        <f t="shared" ca="1" si="26"/>
        <v>#NAME?</v>
      </c>
      <c r="H108" s="132" t="e">
        <f t="shared" ca="1" si="27"/>
        <v>#NAME?</v>
      </c>
      <c r="I108" s="9" t="e">
        <f t="shared" ca="1" si="19"/>
        <v>#NAME?</v>
      </c>
      <c r="J108" s="66"/>
      <c r="K108" s="11"/>
      <c r="L108" s="11"/>
      <c r="M108" s="6">
        <f t="shared" si="20"/>
        <v>62732</v>
      </c>
      <c r="N108" s="40" t="s">
        <v>185</v>
      </c>
      <c r="O108" s="38">
        <f t="shared" si="21"/>
        <v>0</v>
      </c>
      <c r="P108" s="38" t="e">
        <f t="shared" ca="1" si="29"/>
        <v>#NAME?</v>
      </c>
      <c r="Q108" s="38" t="e">
        <f t="shared" ca="1" si="22"/>
        <v>#NAME?</v>
      </c>
      <c r="R108" s="38" t="e">
        <f t="shared" ca="1" si="23"/>
        <v>#NAME?</v>
      </c>
      <c r="S108" s="38">
        <f t="shared" si="24"/>
        <v>0</v>
      </c>
      <c r="T108" s="38" t="e">
        <f t="shared" ca="1" si="25"/>
        <v>#NAME?</v>
      </c>
    </row>
    <row r="109" spans="1:20" ht="20.25" customHeight="1">
      <c r="A109" s="62"/>
      <c r="B109" s="6">
        <f t="shared" si="15"/>
        <v>63098</v>
      </c>
      <c r="C109" s="117" t="str">
        <f t="shared" si="16"/>
        <v/>
      </c>
      <c r="D109" s="131">
        <f t="shared" si="17"/>
        <v>25400.25</v>
      </c>
      <c r="E109" s="131">
        <f t="shared" si="28"/>
        <v>25400.25</v>
      </c>
      <c r="F109" s="138" t="e">
        <f t="shared" ca="1" si="18"/>
        <v>#NAME?</v>
      </c>
      <c r="G109" s="132" t="e">
        <f t="shared" ca="1" si="26"/>
        <v>#NAME?</v>
      </c>
      <c r="H109" s="132" t="e">
        <f t="shared" ca="1" si="27"/>
        <v>#NAME?</v>
      </c>
      <c r="I109" s="9" t="e">
        <f t="shared" ca="1" si="19"/>
        <v>#NAME?</v>
      </c>
      <c r="J109" s="66"/>
      <c r="K109" s="11"/>
      <c r="L109" s="11"/>
      <c r="M109" s="6">
        <f t="shared" si="20"/>
        <v>62915</v>
      </c>
      <c r="N109" s="40" t="s">
        <v>186</v>
      </c>
      <c r="O109" s="38">
        <f t="shared" si="21"/>
        <v>0</v>
      </c>
      <c r="P109" s="38" t="e">
        <f t="shared" ca="1" si="29"/>
        <v>#NAME?</v>
      </c>
      <c r="Q109" s="38" t="e">
        <f t="shared" ca="1" si="22"/>
        <v>#NAME?</v>
      </c>
      <c r="R109" s="38" t="e">
        <f t="shared" ca="1" si="23"/>
        <v>#NAME?</v>
      </c>
      <c r="S109" s="38">
        <f t="shared" si="24"/>
        <v>0</v>
      </c>
      <c r="T109" s="38" t="e">
        <f t="shared" ca="1" si="25"/>
        <v>#NAME?</v>
      </c>
    </row>
    <row r="110" spans="1:20" ht="20.25" customHeight="1">
      <c r="A110" s="62"/>
      <c r="B110" s="6">
        <f t="shared" si="15"/>
        <v>63280</v>
      </c>
      <c r="C110" s="117" t="str">
        <f t="shared" si="16"/>
        <v/>
      </c>
      <c r="D110" s="131">
        <f t="shared" si="17"/>
        <v>25400.25</v>
      </c>
      <c r="E110" s="131">
        <f t="shared" si="28"/>
        <v>25400.25</v>
      </c>
      <c r="F110" s="138" t="e">
        <f t="shared" ca="1" si="18"/>
        <v>#NAME?</v>
      </c>
      <c r="G110" s="132" t="e">
        <f t="shared" ca="1" si="26"/>
        <v>#NAME?</v>
      </c>
      <c r="H110" s="132" t="e">
        <f t="shared" ca="1" si="27"/>
        <v>#NAME?</v>
      </c>
      <c r="I110" s="9" t="e">
        <f t="shared" ca="1" si="19"/>
        <v>#NAME?</v>
      </c>
      <c r="J110" s="66"/>
      <c r="K110" s="11"/>
      <c r="L110" s="11"/>
      <c r="M110" s="6">
        <f t="shared" si="20"/>
        <v>63098</v>
      </c>
      <c r="N110" s="40" t="s">
        <v>187</v>
      </c>
      <c r="O110" s="38">
        <f t="shared" si="21"/>
        <v>0</v>
      </c>
      <c r="P110" s="38" t="e">
        <f t="shared" ca="1" si="29"/>
        <v>#NAME?</v>
      </c>
      <c r="Q110" s="38" t="e">
        <f t="shared" ca="1" si="22"/>
        <v>#NAME?</v>
      </c>
      <c r="R110" s="38" t="e">
        <f t="shared" ca="1" si="23"/>
        <v>#NAME?</v>
      </c>
      <c r="S110" s="38">
        <f t="shared" si="24"/>
        <v>0</v>
      </c>
      <c r="T110" s="38" t="e">
        <f t="shared" ca="1" si="25"/>
        <v>#NAME?</v>
      </c>
    </row>
    <row r="111" spans="1:20" ht="20.25" customHeight="1">
      <c r="A111" s="62"/>
      <c r="B111" s="6">
        <f t="shared" si="15"/>
        <v>63463</v>
      </c>
      <c r="C111" s="117" t="str">
        <f t="shared" si="16"/>
        <v/>
      </c>
      <c r="D111" s="131">
        <f t="shared" si="17"/>
        <v>25400.25</v>
      </c>
      <c r="E111" s="131">
        <f t="shared" si="28"/>
        <v>25400.25</v>
      </c>
      <c r="F111" s="138" t="e">
        <f t="shared" ca="1" si="18"/>
        <v>#NAME?</v>
      </c>
      <c r="G111" s="132" t="e">
        <f t="shared" ca="1" si="26"/>
        <v>#NAME?</v>
      </c>
      <c r="H111" s="132" t="e">
        <f t="shared" ca="1" si="27"/>
        <v>#NAME?</v>
      </c>
      <c r="I111" s="9" t="e">
        <f t="shared" ca="1" si="19"/>
        <v>#NAME?</v>
      </c>
      <c r="J111" s="66"/>
      <c r="K111" s="11"/>
      <c r="L111" s="11"/>
      <c r="M111" s="6">
        <f t="shared" si="20"/>
        <v>63280</v>
      </c>
      <c r="N111" s="40" t="s">
        <v>188</v>
      </c>
      <c r="O111" s="38">
        <f t="shared" si="21"/>
        <v>0</v>
      </c>
      <c r="P111" s="38" t="e">
        <f t="shared" ca="1" si="29"/>
        <v>#NAME?</v>
      </c>
      <c r="Q111" s="38" t="e">
        <f t="shared" ca="1" si="22"/>
        <v>#NAME?</v>
      </c>
      <c r="R111" s="38" t="e">
        <f t="shared" ca="1" si="23"/>
        <v>#NAME?</v>
      </c>
      <c r="S111" s="38">
        <f t="shared" si="24"/>
        <v>0</v>
      </c>
      <c r="T111" s="38" t="e">
        <f t="shared" ca="1" si="25"/>
        <v>#NAME?</v>
      </c>
    </row>
    <row r="112" spans="1:20" ht="20.25" customHeight="1">
      <c r="A112" s="62"/>
      <c r="B112" s="6">
        <f t="shared" si="15"/>
        <v>63645</v>
      </c>
      <c r="C112" s="117" t="str">
        <f t="shared" si="16"/>
        <v/>
      </c>
      <c r="D112" s="131">
        <f t="shared" si="17"/>
        <v>25400.25</v>
      </c>
      <c r="E112" s="131">
        <f t="shared" si="28"/>
        <v>25400.25</v>
      </c>
      <c r="F112" s="138" t="e">
        <f t="shared" ca="1" si="18"/>
        <v>#NAME?</v>
      </c>
      <c r="G112" s="132" t="e">
        <f t="shared" ca="1" si="26"/>
        <v>#NAME?</v>
      </c>
      <c r="H112" s="132" t="e">
        <f t="shared" ca="1" si="27"/>
        <v>#NAME?</v>
      </c>
      <c r="I112" s="9" t="e">
        <f t="shared" ca="1" si="19"/>
        <v>#NAME?</v>
      </c>
      <c r="J112" s="66"/>
      <c r="K112" s="11"/>
      <c r="L112" s="11"/>
      <c r="M112" s="6">
        <f t="shared" si="20"/>
        <v>63463</v>
      </c>
      <c r="N112" s="40" t="s">
        <v>189</v>
      </c>
      <c r="O112" s="38">
        <f t="shared" si="21"/>
        <v>0</v>
      </c>
      <c r="P112" s="38" t="e">
        <f t="shared" ca="1" si="29"/>
        <v>#NAME?</v>
      </c>
      <c r="Q112" s="38" t="e">
        <f t="shared" ca="1" si="22"/>
        <v>#NAME?</v>
      </c>
      <c r="R112" s="38" t="e">
        <f t="shared" ca="1" si="23"/>
        <v>#NAME?</v>
      </c>
      <c r="S112" s="38">
        <f t="shared" si="24"/>
        <v>0</v>
      </c>
      <c r="T112" s="38" t="e">
        <f t="shared" ca="1" si="25"/>
        <v>#NAME?</v>
      </c>
    </row>
    <row r="113" spans="1:20" ht="20.25" customHeight="1">
      <c r="A113" s="62"/>
      <c r="B113" s="6">
        <f t="shared" si="15"/>
        <v>63828</v>
      </c>
      <c r="C113" s="117" t="str">
        <f t="shared" si="16"/>
        <v/>
      </c>
      <c r="D113" s="131">
        <f t="shared" si="17"/>
        <v>25400.25</v>
      </c>
      <c r="E113" s="131">
        <f t="shared" si="28"/>
        <v>25400.25</v>
      </c>
      <c r="F113" s="138" t="e">
        <f t="shared" ca="1" si="18"/>
        <v>#NAME?</v>
      </c>
      <c r="G113" s="132" t="e">
        <f t="shared" ca="1" si="26"/>
        <v>#NAME?</v>
      </c>
      <c r="H113" s="132" t="e">
        <f t="shared" ca="1" si="27"/>
        <v>#NAME?</v>
      </c>
      <c r="I113" s="9" t="e">
        <f t="shared" ca="1" si="19"/>
        <v>#NAME?</v>
      </c>
      <c r="J113" s="66"/>
      <c r="K113" s="11"/>
      <c r="L113" s="11"/>
      <c r="M113" s="6">
        <f t="shared" si="20"/>
        <v>63645</v>
      </c>
      <c r="N113" s="40" t="s">
        <v>190</v>
      </c>
      <c r="O113" s="38">
        <f t="shared" si="21"/>
        <v>0</v>
      </c>
      <c r="P113" s="38" t="e">
        <f t="shared" ca="1" si="29"/>
        <v>#NAME?</v>
      </c>
      <c r="Q113" s="38" t="e">
        <f t="shared" ca="1" si="22"/>
        <v>#NAME?</v>
      </c>
      <c r="R113" s="38" t="e">
        <f t="shared" ca="1" si="23"/>
        <v>#NAME?</v>
      </c>
      <c r="S113" s="38">
        <f t="shared" si="24"/>
        <v>0</v>
      </c>
      <c r="T113" s="38" t="e">
        <f t="shared" ca="1" si="25"/>
        <v>#NAME?</v>
      </c>
    </row>
    <row r="114" spans="1:20" ht="20.25" customHeight="1">
      <c r="A114" s="62"/>
      <c r="B114" s="6">
        <f t="shared" si="15"/>
        <v>64010</v>
      </c>
      <c r="C114" s="117" t="str">
        <f t="shared" si="16"/>
        <v/>
      </c>
      <c r="D114" s="131">
        <f t="shared" si="17"/>
        <v>25400.25</v>
      </c>
      <c r="E114" s="131">
        <f t="shared" si="28"/>
        <v>25400.25</v>
      </c>
      <c r="F114" s="138" t="e">
        <f t="shared" ca="1" si="18"/>
        <v>#NAME?</v>
      </c>
      <c r="G114" s="132" t="e">
        <f t="shared" ca="1" si="26"/>
        <v>#NAME?</v>
      </c>
      <c r="H114" s="132" t="e">
        <f t="shared" ca="1" si="27"/>
        <v>#NAME?</v>
      </c>
      <c r="I114" s="9" t="e">
        <f t="shared" ca="1" si="19"/>
        <v>#NAME?</v>
      </c>
      <c r="J114" s="66"/>
      <c r="K114" s="11"/>
      <c r="L114" s="11"/>
      <c r="M114" s="6">
        <f t="shared" si="20"/>
        <v>63828</v>
      </c>
      <c r="N114" s="40" t="s">
        <v>191</v>
      </c>
      <c r="O114" s="38">
        <f t="shared" si="21"/>
        <v>0</v>
      </c>
      <c r="P114" s="38" t="e">
        <f t="shared" ca="1" si="29"/>
        <v>#NAME?</v>
      </c>
      <c r="Q114" s="38" t="e">
        <f t="shared" ca="1" si="22"/>
        <v>#NAME?</v>
      </c>
      <c r="R114" s="38" t="e">
        <f t="shared" ca="1" si="23"/>
        <v>#NAME?</v>
      </c>
      <c r="S114" s="38">
        <f t="shared" si="24"/>
        <v>0</v>
      </c>
      <c r="T114" s="38" t="e">
        <f t="shared" ca="1" si="25"/>
        <v>#NAME?</v>
      </c>
    </row>
    <row r="115" spans="1:20" ht="20.25" customHeight="1">
      <c r="A115" s="62"/>
      <c r="B115" s="6">
        <f t="shared" si="15"/>
        <v>64193</v>
      </c>
      <c r="C115" s="117" t="str">
        <f t="shared" si="16"/>
        <v/>
      </c>
      <c r="D115" s="131">
        <f t="shared" si="17"/>
        <v>25400.25</v>
      </c>
      <c r="E115" s="131">
        <f t="shared" si="28"/>
        <v>25400.25</v>
      </c>
      <c r="F115" s="138" t="e">
        <f t="shared" ca="1" si="18"/>
        <v>#NAME?</v>
      </c>
      <c r="G115" s="132" t="e">
        <f t="shared" ca="1" si="26"/>
        <v>#NAME?</v>
      </c>
      <c r="H115" s="132" t="e">
        <f t="shared" ca="1" si="27"/>
        <v>#NAME?</v>
      </c>
      <c r="I115" s="9" t="e">
        <f t="shared" ca="1" si="19"/>
        <v>#NAME?</v>
      </c>
      <c r="J115" s="66"/>
      <c r="K115" s="11"/>
      <c r="L115" s="11"/>
      <c r="M115" s="6">
        <f t="shared" si="20"/>
        <v>64010</v>
      </c>
      <c r="N115" s="40" t="s">
        <v>192</v>
      </c>
      <c r="O115" s="38">
        <f t="shared" si="21"/>
        <v>0</v>
      </c>
      <c r="P115" s="38" t="e">
        <f t="shared" ca="1" si="29"/>
        <v>#NAME?</v>
      </c>
      <c r="Q115" s="38" t="e">
        <f t="shared" ca="1" si="22"/>
        <v>#NAME?</v>
      </c>
      <c r="R115" s="38" t="e">
        <f t="shared" ca="1" si="23"/>
        <v>#NAME?</v>
      </c>
      <c r="S115" s="38">
        <f t="shared" si="24"/>
        <v>0</v>
      </c>
      <c r="T115" s="38" t="e">
        <f t="shared" ca="1" si="25"/>
        <v>#NAME?</v>
      </c>
    </row>
    <row r="116" spans="1:20" ht="20.25" customHeight="1">
      <c r="A116" s="62"/>
      <c r="B116" s="6">
        <f t="shared" si="15"/>
        <v>64376</v>
      </c>
      <c r="C116" s="117" t="str">
        <f t="shared" si="16"/>
        <v/>
      </c>
      <c r="D116" s="131">
        <f t="shared" si="17"/>
        <v>25400.25</v>
      </c>
      <c r="E116" s="131">
        <f t="shared" si="28"/>
        <v>25400.25</v>
      </c>
      <c r="F116" s="138" t="e">
        <f t="shared" ca="1" si="18"/>
        <v>#NAME?</v>
      </c>
      <c r="G116" s="132" t="e">
        <f t="shared" ca="1" si="26"/>
        <v>#NAME?</v>
      </c>
      <c r="H116" s="132" t="e">
        <f t="shared" ca="1" si="27"/>
        <v>#NAME?</v>
      </c>
      <c r="I116" s="9" t="e">
        <f t="shared" ca="1" si="19"/>
        <v>#NAME?</v>
      </c>
      <c r="J116" s="66"/>
      <c r="K116" s="11"/>
      <c r="L116" s="11"/>
      <c r="M116" s="6">
        <f t="shared" si="20"/>
        <v>64193</v>
      </c>
      <c r="N116" s="40" t="s">
        <v>193</v>
      </c>
      <c r="O116" s="38">
        <f t="shared" si="21"/>
        <v>0</v>
      </c>
      <c r="P116" s="38" t="e">
        <f t="shared" ca="1" si="29"/>
        <v>#NAME?</v>
      </c>
      <c r="Q116" s="38" t="e">
        <f t="shared" ca="1" si="22"/>
        <v>#NAME?</v>
      </c>
      <c r="R116" s="38" t="e">
        <f t="shared" ca="1" si="23"/>
        <v>#NAME?</v>
      </c>
      <c r="S116" s="38">
        <f t="shared" si="24"/>
        <v>0</v>
      </c>
      <c r="T116" s="38" t="e">
        <f t="shared" ca="1" si="25"/>
        <v>#NAME?</v>
      </c>
    </row>
    <row r="117" spans="1:20" ht="20.25" customHeight="1">
      <c r="A117" s="62"/>
      <c r="B117" s="6">
        <f t="shared" si="15"/>
        <v>64559</v>
      </c>
      <c r="C117" s="117" t="str">
        <f t="shared" si="16"/>
        <v/>
      </c>
      <c r="D117" s="131">
        <f t="shared" si="17"/>
        <v>25400.25</v>
      </c>
      <c r="E117" s="131">
        <f t="shared" si="28"/>
        <v>25400.25</v>
      </c>
      <c r="F117" s="138" t="e">
        <f t="shared" ca="1" si="18"/>
        <v>#NAME?</v>
      </c>
      <c r="G117" s="132" t="e">
        <f t="shared" ca="1" si="26"/>
        <v>#NAME?</v>
      </c>
      <c r="H117" s="132" t="e">
        <f t="shared" ca="1" si="27"/>
        <v>#NAME?</v>
      </c>
      <c r="I117" s="9" t="e">
        <f t="shared" ca="1" si="19"/>
        <v>#NAME?</v>
      </c>
      <c r="J117" s="66"/>
      <c r="K117" s="11"/>
      <c r="L117" s="11"/>
      <c r="M117" s="6">
        <f t="shared" si="20"/>
        <v>64376</v>
      </c>
      <c r="N117" s="40" t="s">
        <v>194</v>
      </c>
      <c r="O117" s="38">
        <f t="shared" si="21"/>
        <v>0</v>
      </c>
      <c r="P117" s="38" t="e">
        <f t="shared" ca="1" si="29"/>
        <v>#NAME?</v>
      </c>
      <c r="Q117" s="38" t="e">
        <f t="shared" ca="1" si="22"/>
        <v>#NAME?</v>
      </c>
      <c r="R117" s="38" t="e">
        <f t="shared" ca="1" si="23"/>
        <v>#NAME?</v>
      </c>
      <c r="S117" s="38">
        <f t="shared" si="24"/>
        <v>0</v>
      </c>
      <c r="T117" s="38" t="e">
        <f t="shared" ca="1" si="25"/>
        <v>#NAME?</v>
      </c>
    </row>
    <row r="118" spans="1:20" ht="20.25" customHeight="1">
      <c r="A118" s="62"/>
      <c r="B118" s="6">
        <f t="shared" si="15"/>
        <v>64741</v>
      </c>
      <c r="C118" s="117" t="str">
        <f t="shared" si="16"/>
        <v/>
      </c>
      <c r="D118" s="131">
        <f t="shared" si="17"/>
        <v>25400.25</v>
      </c>
      <c r="E118" s="131">
        <f t="shared" si="28"/>
        <v>25400.25</v>
      </c>
      <c r="F118" s="138" t="e">
        <f t="shared" ca="1" si="18"/>
        <v>#NAME?</v>
      </c>
      <c r="G118" s="132" t="e">
        <f t="shared" ca="1" si="26"/>
        <v>#NAME?</v>
      </c>
      <c r="H118" s="132" t="e">
        <f t="shared" ca="1" si="27"/>
        <v>#NAME?</v>
      </c>
      <c r="I118" s="9" t="e">
        <f t="shared" ca="1" si="19"/>
        <v>#NAME?</v>
      </c>
      <c r="J118" s="66"/>
      <c r="K118" s="11"/>
      <c r="L118" s="11"/>
      <c r="M118" s="6">
        <f t="shared" si="20"/>
        <v>64559</v>
      </c>
      <c r="N118" s="40" t="s">
        <v>195</v>
      </c>
      <c r="O118" s="38">
        <f t="shared" si="21"/>
        <v>0</v>
      </c>
      <c r="P118" s="38" t="e">
        <f t="shared" ca="1" si="29"/>
        <v>#NAME?</v>
      </c>
      <c r="Q118" s="38" t="e">
        <f t="shared" ca="1" si="22"/>
        <v>#NAME?</v>
      </c>
      <c r="R118" s="38" t="e">
        <f t="shared" ca="1" si="23"/>
        <v>#NAME?</v>
      </c>
      <c r="S118" s="38">
        <f t="shared" si="24"/>
        <v>0</v>
      </c>
      <c r="T118" s="38" t="e">
        <f t="shared" ca="1" si="25"/>
        <v>#NAME?</v>
      </c>
    </row>
    <row r="119" spans="1:20" ht="20.25" customHeight="1">
      <c r="A119" s="62"/>
      <c r="B119" s="6">
        <f t="shared" si="15"/>
        <v>64924</v>
      </c>
      <c r="C119" s="117" t="str">
        <f t="shared" si="16"/>
        <v/>
      </c>
      <c r="D119" s="131">
        <f t="shared" si="17"/>
        <v>25400.25</v>
      </c>
      <c r="E119" s="131">
        <f t="shared" si="28"/>
        <v>25400.25</v>
      </c>
      <c r="F119" s="138" t="e">
        <f t="shared" ca="1" si="18"/>
        <v>#NAME?</v>
      </c>
      <c r="G119" s="132" t="e">
        <f t="shared" ca="1" si="26"/>
        <v>#NAME?</v>
      </c>
      <c r="H119" s="132" t="e">
        <f t="shared" ca="1" si="27"/>
        <v>#NAME?</v>
      </c>
      <c r="I119" s="9" t="e">
        <f t="shared" ca="1" si="19"/>
        <v>#NAME?</v>
      </c>
      <c r="J119" s="66"/>
      <c r="K119" s="11"/>
      <c r="L119" s="11"/>
      <c r="M119" s="6">
        <f t="shared" si="20"/>
        <v>64741</v>
      </c>
      <c r="N119" s="40" t="s">
        <v>196</v>
      </c>
      <c r="O119" s="38">
        <f t="shared" si="21"/>
        <v>0</v>
      </c>
      <c r="P119" s="38" t="e">
        <f t="shared" ca="1" si="29"/>
        <v>#NAME?</v>
      </c>
      <c r="Q119" s="38" t="e">
        <f t="shared" ca="1" si="22"/>
        <v>#NAME?</v>
      </c>
      <c r="R119" s="38" t="e">
        <f t="shared" ca="1" si="23"/>
        <v>#NAME?</v>
      </c>
      <c r="S119" s="38">
        <f t="shared" si="24"/>
        <v>0</v>
      </c>
      <c r="T119" s="38" t="e">
        <f t="shared" ca="1" si="25"/>
        <v>#NAME?</v>
      </c>
    </row>
    <row r="120" spans="1:20" ht="20.25" customHeight="1">
      <c r="A120" s="62"/>
      <c r="B120" s="6">
        <f t="shared" si="15"/>
        <v>65106</v>
      </c>
      <c r="C120" s="117" t="str">
        <f t="shared" si="16"/>
        <v/>
      </c>
      <c r="D120" s="131">
        <f t="shared" si="17"/>
        <v>25400.25</v>
      </c>
      <c r="E120" s="131">
        <f t="shared" si="28"/>
        <v>25400.25</v>
      </c>
      <c r="F120" s="138" t="e">
        <f t="shared" ca="1" si="18"/>
        <v>#NAME?</v>
      </c>
      <c r="G120" s="132" t="e">
        <f t="shared" ca="1" si="26"/>
        <v>#NAME?</v>
      </c>
      <c r="H120" s="132" t="e">
        <f t="shared" ca="1" si="27"/>
        <v>#NAME?</v>
      </c>
      <c r="I120" s="9" t="e">
        <f t="shared" ca="1" si="19"/>
        <v>#NAME?</v>
      </c>
      <c r="J120" s="66"/>
      <c r="K120" s="11"/>
      <c r="L120" s="11"/>
      <c r="M120" s="6">
        <f t="shared" si="20"/>
        <v>64924</v>
      </c>
      <c r="N120" s="40" t="s">
        <v>197</v>
      </c>
      <c r="O120" s="38">
        <f t="shared" si="21"/>
        <v>0</v>
      </c>
      <c r="P120" s="38" t="e">
        <f t="shared" ca="1" si="29"/>
        <v>#NAME?</v>
      </c>
      <c r="Q120" s="38" t="e">
        <f t="shared" ca="1" si="22"/>
        <v>#NAME?</v>
      </c>
      <c r="R120" s="38" t="e">
        <f t="shared" ca="1" si="23"/>
        <v>#NAME?</v>
      </c>
      <c r="S120" s="38">
        <f t="shared" si="24"/>
        <v>0</v>
      </c>
      <c r="T120" s="38" t="e">
        <f t="shared" ca="1" si="25"/>
        <v>#NAME?</v>
      </c>
    </row>
    <row r="121" spans="1:20" ht="20.25" customHeight="1">
      <c r="A121" s="62"/>
      <c r="B121" s="6">
        <f t="shared" si="15"/>
        <v>65289</v>
      </c>
      <c r="C121" s="117" t="str">
        <f t="shared" si="16"/>
        <v/>
      </c>
      <c r="D121" s="131">
        <f t="shared" si="17"/>
        <v>25400.25</v>
      </c>
      <c r="E121" s="131">
        <f t="shared" si="28"/>
        <v>25400.25</v>
      </c>
      <c r="F121" s="138" t="e">
        <f t="shared" ca="1" si="18"/>
        <v>#NAME?</v>
      </c>
      <c r="G121" s="132" t="e">
        <f t="shared" ca="1" si="26"/>
        <v>#NAME?</v>
      </c>
      <c r="H121" s="132" t="e">
        <f t="shared" ca="1" si="27"/>
        <v>#NAME?</v>
      </c>
      <c r="I121" s="9" t="e">
        <f t="shared" ca="1" si="19"/>
        <v>#NAME?</v>
      </c>
      <c r="J121" s="66"/>
      <c r="K121" s="11"/>
      <c r="L121" s="11"/>
      <c r="M121" s="6">
        <f t="shared" si="20"/>
        <v>65106</v>
      </c>
      <c r="N121" s="40" t="s">
        <v>198</v>
      </c>
      <c r="O121" s="38">
        <f t="shared" si="21"/>
        <v>0</v>
      </c>
      <c r="P121" s="38" t="e">
        <f t="shared" ca="1" si="29"/>
        <v>#NAME?</v>
      </c>
      <c r="Q121" s="38" t="e">
        <f t="shared" ca="1" si="22"/>
        <v>#NAME?</v>
      </c>
      <c r="R121" s="38" t="e">
        <f t="shared" ca="1" si="23"/>
        <v>#NAME?</v>
      </c>
      <c r="S121" s="38">
        <f t="shared" si="24"/>
        <v>0</v>
      </c>
      <c r="T121" s="38" t="e">
        <f t="shared" ca="1" si="25"/>
        <v>#NAME?</v>
      </c>
    </row>
    <row r="122" spans="1:20" ht="20.25" customHeight="1">
      <c r="A122" s="62"/>
      <c r="B122" s="6">
        <f t="shared" si="15"/>
        <v>65471</v>
      </c>
      <c r="C122" s="117" t="str">
        <f t="shared" si="16"/>
        <v/>
      </c>
      <c r="D122" s="131">
        <f t="shared" si="17"/>
        <v>25400.25</v>
      </c>
      <c r="E122" s="131">
        <f t="shared" si="28"/>
        <v>25400.25</v>
      </c>
      <c r="F122" s="138" t="e">
        <f t="shared" ca="1" si="18"/>
        <v>#NAME?</v>
      </c>
      <c r="G122" s="132" t="e">
        <f t="shared" ca="1" si="26"/>
        <v>#NAME?</v>
      </c>
      <c r="H122" s="132" t="e">
        <f t="shared" ca="1" si="27"/>
        <v>#NAME?</v>
      </c>
      <c r="I122" s="9" t="e">
        <f t="shared" ca="1" si="19"/>
        <v>#NAME?</v>
      </c>
      <c r="J122" s="66"/>
      <c r="K122" s="11"/>
      <c r="L122" s="11"/>
      <c r="M122" s="6">
        <f t="shared" si="20"/>
        <v>65289</v>
      </c>
      <c r="N122" s="40" t="s">
        <v>199</v>
      </c>
      <c r="O122" s="38">
        <f t="shared" si="21"/>
        <v>0</v>
      </c>
      <c r="P122" s="38" t="e">
        <f t="shared" ca="1" si="29"/>
        <v>#NAME?</v>
      </c>
      <c r="Q122" s="38" t="e">
        <f t="shared" ca="1" si="22"/>
        <v>#NAME?</v>
      </c>
      <c r="R122" s="38" t="e">
        <f t="shared" ca="1" si="23"/>
        <v>#NAME?</v>
      </c>
      <c r="S122" s="38">
        <f t="shared" si="24"/>
        <v>0</v>
      </c>
      <c r="T122" s="38" t="e">
        <f t="shared" ca="1" si="25"/>
        <v>#NAME?</v>
      </c>
    </row>
    <row r="123" spans="1:20" ht="20.25" customHeight="1">
      <c r="A123" s="62"/>
      <c r="B123" s="6">
        <f t="shared" ref="B123:B162" si="30">IF(B122&lt;$C$8,COUPNCD(B122,$C$8,IF($C$10=O$9,1,IF($C$10=O$8,2,4))),"")</f>
        <v>65654</v>
      </c>
      <c r="C123" s="117" t="str">
        <f t="shared" ref="C123:C162" si="31">IF(B123=$C$8,$E$9,"")</f>
        <v/>
      </c>
      <c r="D123" s="131">
        <f t="shared" ref="D123:D162" si="32">IF(B123="","",IF($C$13="krw",(TRUNC(($C$9*$E$9)/(IF($C$10=$O$9,1,IF($C$10=$O$8,2,4))),2)*$C$14),(TRUNC(($C$9*$E$9)/(IF($C$10=$O$9,1,IF($C$10=$O$8,2,4))),2))))</f>
        <v>25400.25</v>
      </c>
      <c r="E123" s="131">
        <f t="shared" si="28"/>
        <v>25400.25</v>
      </c>
      <c r="F123" s="138" t="e">
        <f t="shared" ref="F123:F162" ca="1" si="33">IF(B123="","",IF(E123&gt;R123,E123-R123,0))</f>
        <v>#NAME?</v>
      </c>
      <c r="G123" s="132" t="e">
        <f t="shared" ca="1" si="26"/>
        <v>#NAME?</v>
      </c>
      <c r="H123" s="132" t="e">
        <f t="shared" ca="1" si="27"/>
        <v>#NAME?</v>
      </c>
      <c r="I123" s="9" t="e">
        <f t="shared" ref="I123:I162" ca="1" si="34">IF(B123="","",D123-P123-G123-H123)</f>
        <v>#NAME?</v>
      </c>
      <c r="J123" s="66"/>
      <c r="K123" s="11"/>
      <c r="L123" s="11"/>
      <c r="M123" s="6">
        <f t="shared" ref="M123:M161" si="35">IF(B122&lt;$C$8,COUPNCD(M122,$C$8,IF($C$10=$O$9,1,IF($C$10=$O$8,2,4))),"")</f>
        <v>65471</v>
      </c>
      <c r="N123" s="40" t="s">
        <v>200</v>
      </c>
      <c r="O123" s="38">
        <f t="shared" ref="O123:O161" si="36">S122</f>
        <v>0</v>
      </c>
      <c r="P123" s="38" t="e">
        <f t="shared" ca="1" si="29"/>
        <v>#NAME?</v>
      </c>
      <c r="Q123" s="38" t="e">
        <f t="shared" ref="Q123:Q161" ca="1" si="37">+T122+P123</f>
        <v>#NAME?</v>
      </c>
      <c r="R123" s="38" t="e">
        <f t="shared" ref="R123:R161" ca="1" si="38">+O123+Q123</f>
        <v>#NAME?</v>
      </c>
      <c r="S123" s="38">
        <f t="shared" ref="S123:S161" si="39">IF(E123&lt;O123,O123-E123,0)</f>
        <v>0</v>
      </c>
      <c r="T123" s="38" t="e">
        <f t="shared" ref="T123:T161" ca="1" si="40">IF(S123&gt;0,Q123,IF(E123&gt;R123,0,Q123-(E123-O123)))</f>
        <v>#NAME?</v>
      </c>
    </row>
    <row r="124" spans="1:20" ht="20.25" customHeight="1">
      <c r="A124" s="62"/>
      <c r="B124" s="6">
        <f t="shared" si="30"/>
        <v>65837</v>
      </c>
      <c r="C124" s="117" t="str">
        <f t="shared" si="31"/>
        <v/>
      </c>
      <c r="D124" s="131">
        <f t="shared" si="32"/>
        <v>25400.25</v>
      </c>
      <c r="E124" s="131">
        <f t="shared" si="28"/>
        <v>25400.25</v>
      </c>
      <c r="F124" s="138" t="e">
        <f t="shared" ca="1" si="33"/>
        <v>#NAME?</v>
      </c>
      <c r="G124" s="132" t="e">
        <f t="shared" ca="1" si="26"/>
        <v>#NAME?</v>
      </c>
      <c r="H124" s="132" t="e">
        <f t="shared" ca="1" si="27"/>
        <v>#NAME?</v>
      </c>
      <c r="I124" s="9" t="e">
        <f t="shared" ca="1" si="34"/>
        <v>#NAME?</v>
      </c>
      <c r="J124" s="66"/>
      <c r="K124" s="11"/>
      <c r="L124" s="11"/>
      <c r="M124" s="6">
        <f t="shared" si="35"/>
        <v>65654</v>
      </c>
      <c r="N124" s="40" t="s">
        <v>201</v>
      </c>
      <c r="O124" s="38">
        <f t="shared" si="36"/>
        <v>0</v>
      </c>
      <c r="P124" s="38" t="e">
        <f t="shared" ca="1" si="29"/>
        <v>#NAME?</v>
      </c>
      <c r="Q124" s="38" t="e">
        <f t="shared" ca="1" si="37"/>
        <v>#NAME?</v>
      </c>
      <c r="R124" s="38" t="e">
        <f t="shared" ca="1" si="38"/>
        <v>#NAME?</v>
      </c>
      <c r="S124" s="38">
        <f t="shared" si="39"/>
        <v>0</v>
      </c>
      <c r="T124" s="38" t="e">
        <f t="shared" ca="1" si="40"/>
        <v>#NAME?</v>
      </c>
    </row>
    <row r="125" spans="1:20" ht="20.25" customHeight="1">
      <c r="A125" s="62"/>
      <c r="B125" s="6">
        <f t="shared" si="30"/>
        <v>66020</v>
      </c>
      <c r="C125" s="117" t="str">
        <f t="shared" si="31"/>
        <v/>
      </c>
      <c r="D125" s="131">
        <f t="shared" si="32"/>
        <v>25400.25</v>
      </c>
      <c r="E125" s="131">
        <f t="shared" si="28"/>
        <v>25400.25</v>
      </c>
      <c r="F125" s="138" t="e">
        <f t="shared" ca="1" si="33"/>
        <v>#NAME?</v>
      </c>
      <c r="G125" s="132" t="e">
        <f t="shared" ca="1" si="26"/>
        <v>#NAME?</v>
      </c>
      <c r="H125" s="132" t="e">
        <f t="shared" ca="1" si="27"/>
        <v>#NAME?</v>
      </c>
      <c r="I125" s="9" t="e">
        <f t="shared" ca="1" si="34"/>
        <v>#NAME?</v>
      </c>
      <c r="J125" s="66"/>
      <c r="K125" s="11"/>
      <c r="L125" s="11"/>
      <c r="M125" s="6">
        <f t="shared" si="35"/>
        <v>65837</v>
      </c>
      <c r="N125" s="40" t="s">
        <v>202</v>
      </c>
      <c r="O125" s="38">
        <f t="shared" si="36"/>
        <v>0</v>
      </c>
      <c r="P125" s="38" t="e">
        <f t="shared" ca="1" si="29"/>
        <v>#NAME?</v>
      </c>
      <c r="Q125" s="38" t="e">
        <f t="shared" ca="1" si="37"/>
        <v>#NAME?</v>
      </c>
      <c r="R125" s="38" t="e">
        <f t="shared" ca="1" si="38"/>
        <v>#NAME?</v>
      </c>
      <c r="S125" s="38">
        <f t="shared" si="39"/>
        <v>0</v>
      </c>
      <c r="T125" s="38" t="e">
        <f t="shared" ca="1" si="40"/>
        <v>#NAME?</v>
      </c>
    </row>
    <row r="126" spans="1:20" ht="20.25" customHeight="1">
      <c r="A126" s="62"/>
      <c r="B126" s="6">
        <f t="shared" si="30"/>
        <v>66202</v>
      </c>
      <c r="C126" s="117" t="str">
        <f t="shared" si="31"/>
        <v/>
      </c>
      <c r="D126" s="131">
        <f t="shared" si="32"/>
        <v>25400.25</v>
      </c>
      <c r="E126" s="131">
        <f t="shared" si="28"/>
        <v>25400.25</v>
      </c>
      <c r="F126" s="138" t="e">
        <f t="shared" ca="1" si="33"/>
        <v>#NAME?</v>
      </c>
      <c r="G126" s="132" t="e">
        <f t="shared" ca="1" si="26"/>
        <v>#NAME?</v>
      </c>
      <c r="H126" s="132" t="e">
        <f t="shared" ca="1" si="27"/>
        <v>#NAME?</v>
      </c>
      <c r="I126" s="9" t="e">
        <f t="shared" ca="1" si="34"/>
        <v>#NAME?</v>
      </c>
      <c r="J126" s="66"/>
      <c r="K126" s="11"/>
      <c r="L126" s="11"/>
      <c r="M126" s="6">
        <f t="shared" si="35"/>
        <v>66020</v>
      </c>
      <c r="N126" s="40" t="s">
        <v>203</v>
      </c>
      <c r="O126" s="38">
        <f t="shared" si="36"/>
        <v>0</v>
      </c>
      <c r="P126" s="38" t="e">
        <f t="shared" ca="1" si="29"/>
        <v>#NAME?</v>
      </c>
      <c r="Q126" s="38" t="e">
        <f t="shared" ca="1" si="37"/>
        <v>#NAME?</v>
      </c>
      <c r="R126" s="38" t="e">
        <f t="shared" ca="1" si="38"/>
        <v>#NAME?</v>
      </c>
      <c r="S126" s="38">
        <f t="shared" si="39"/>
        <v>0</v>
      </c>
      <c r="T126" s="38" t="e">
        <f t="shared" ca="1" si="40"/>
        <v>#NAME?</v>
      </c>
    </row>
    <row r="127" spans="1:20" ht="20.25" customHeight="1">
      <c r="A127" s="62"/>
      <c r="B127" s="6">
        <f t="shared" si="30"/>
        <v>66385</v>
      </c>
      <c r="C127" s="117" t="str">
        <f t="shared" si="31"/>
        <v/>
      </c>
      <c r="D127" s="131">
        <f t="shared" si="32"/>
        <v>25400.25</v>
      </c>
      <c r="E127" s="131">
        <f t="shared" si="28"/>
        <v>25400.25</v>
      </c>
      <c r="F127" s="138" t="e">
        <f t="shared" ca="1" si="33"/>
        <v>#NAME?</v>
      </c>
      <c r="G127" s="132" t="e">
        <f t="shared" ca="1" si="26"/>
        <v>#NAME?</v>
      </c>
      <c r="H127" s="132" t="e">
        <f t="shared" ca="1" si="27"/>
        <v>#NAME?</v>
      </c>
      <c r="I127" s="9" t="e">
        <f t="shared" ca="1" si="34"/>
        <v>#NAME?</v>
      </c>
      <c r="J127" s="66"/>
      <c r="K127" s="11"/>
      <c r="L127" s="11"/>
      <c r="M127" s="6">
        <f t="shared" si="35"/>
        <v>66202</v>
      </c>
      <c r="N127" s="40" t="s">
        <v>204</v>
      </c>
      <c r="O127" s="38">
        <f t="shared" si="36"/>
        <v>0</v>
      </c>
      <c r="P127" s="38" t="e">
        <f t="shared" ca="1" si="29"/>
        <v>#NAME?</v>
      </c>
      <c r="Q127" s="38" t="e">
        <f t="shared" ca="1" si="37"/>
        <v>#NAME?</v>
      </c>
      <c r="R127" s="38" t="e">
        <f t="shared" ca="1" si="38"/>
        <v>#NAME?</v>
      </c>
      <c r="S127" s="38">
        <f t="shared" si="39"/>
        <v>0</v>
      </c>
      <c r="T127" s="38" t="e">
        <f t="shared" ca="1" si="40"/>
        <v>#NAME?</v>
      </c>
    </row>
    <row r="128" spans="1:20" ht="20.25" customHeight="1">
      <c r="A128" s="62"/>
      <c r="B128" s="6">
        <f t="shared" si="30"/>
        <v>66567</v>
      </c>
      <c r="C128" s="117" t="str">
        <f t="shared" si="31"/>
        <v/>
      </c>
      <c r="D128" s="131">
        <f t="shared" si="32"/>
        <v>25400.25</v>
      </c>
      <c r="E128" s="131">
        <f t="shared" si="28"/>
        <v>25400.25</v>
      </c>
      <c r="F128" s="138" t="e">
        <f t="shared" ca="1" si="33"/>
        <v>#NAME?</v>
      </c>
      <c r="G128" s="132" t="e">
        <f t="shared" ca="1" si="26"/>
        <v>#NAME?</v>
      </c>
      <c r="H128" s="132" t="e">
        <f t="shared" ca="1" si="27"/>
        <v>#NAME?</v>
      </c>
      <c r="I128" s="9" t="e">
        <f t="shared" ca="1" si="34"/>
        <v>#NAME?</v>
      </c>
      <c r="J128" s="66"/>
      <c r="K128" s="11"/>
      <c r="L128" s="11"/>
      <c r="M128" s="6">
        <f t="shared" si="35"/>
        <v>66385</v>
      </c>
      <c r="N128" s="40" t="s">
        <v>205</v>
      </c>
      <c r="O128" s="38">
        <f t="shared" si="36"/>
        <v>0</v>
      </c>
      <c r="P128" s="38" t="e">
        <f t="shared" ca="1" si="29"/>
        <v>#NAME?</v>
      </c>
      <c r="Q128" s="38" t="e">
        <f t="shared" ca="1" si="37"/>
        <v>#NAME?</v>
      </c>
      <c r="R128" s="38" t="e">
        <f t="shared" ca="1" si="38"/>
        <v>#NAME?</v>
      </c>
      <c r="S128" s="38">
        <f t="shared" si="39"/>
        <v>0</v>
      </c>
      <c r="T128" s="38" t="e">
        <f t="shared" ca="1" si="40"/>
        <v>#NAME?</v>
      </c>
    </row>
    <row r="129" spans="1:20" ht="20.25" customHeight="1">
      <c r="A129" s="62"/>
      <c r="B129" s="6">
        <f t="shared" si="30"/>
        <v>66750</v>
      </c>
      <c r="C129" s="117" t="str">
        <f t="shared" si="31"/>
        <v/>
      </c>
      <c r="D129" s="131">
        <f t="shared" si="32"/>
        <v>25400.25</v>
      </c>
      <c r="E129" s="131">
        <f t="shared" si="28"/>
        <v>25400.25</v>
      </c>
      <c r="F129" s="138" t="e">
        <f t="shared" ca="1" si="33"/>
        <v>#NAME?</v>
      </c>
      <c r="G129" s="132" t="e">
        <f t="shared" ca="1" si="26"/>
        <v>#NAME?</v>
      </c>
      <c r="H129" s="132" t="e">
        <f t="shared" ca="1" si="27"/>
        <v>#NAME?</v>
      </c>
      <c r="I129" s="9" t="e">
        <f t="shared" ca="1" si="34"/>
        <v>#NAME?</v>
      </c>
      <c r="J129" s="66"/>
      <c r="K129" s="11"/>
      <c r="L129" s="11"/>
      <c r="M129" s="6">
        <f t="shared" si="35"/>
        <v>66567</v>
      </c>
      <c r="N129" s="40" t="s">
        <v>206</v>
      </c>
      <c r="O129" s="38">
        <f t="shared" si="36"/>
        <v>0</v>
      </c>
      <c r="P129" s="38" t="e">
        <f t="shared" ca="1" si="29"/>
        <v>#NAME?</v>
      </c>
      <c r="Q129" s="38" t="e">
        <f t="shared" ca="1" si="37"/>
        <v>#NAME?</v>
      </c>
      <c r="R129" s="38" t="e">
        <f t="shared" ca="1" si="38"/>
        <v>#NAME?</v>
      </c>
      <c r="S129" s="38">
        <f t="shared" si="39"/>
        <v>0</v>
      </c>
      <c r="T129" s="38" t="e">
        <f t="shared" ca="1" si="40"/>
        <v>#NAME?</v>
      </c>
    </row>
    <row r="130" spans="1:20" ht="20.25" customHeight="1">
      <c r="A130" s="62"/>
      <c r="B130" s="6">
        <f t="shared" si="30"/>
        <v>66932</v>
      </c>
      <c r="C130" s="117" t="str">
        <f t="shared" si="31"/>
        <v/>
      </c>
      <c r="D130" s="131">
        <f t="shared" si="32"/>
        <v>25400.25</v>
      </c>
      <c r="E130" s="131">
        <f t="shared" si="28"/>
        <v>25400.25</v>
      </c>
      <c r="F130" s="138" t="e">
        <f t="shared" ca="1" si="33"/>
        <v>#NAME?</v>
      </c>
      <c r="G130" s="132" t="e">
        <f t="shared" ca="1" si="26"/>
        <v>#NAME?</v>
      </c>
      <c r="H130" s="132" t="e">
        <f t="shared" ca="1" si="27"/>
        <v>#NAME?</v>
      </c>
      <c r="I130" s="9" t="e">
        <f t="shared" ca="1" si="34"/>
        <v>#NAME?</v>
      </c>
      <c r="J130" s="66"/>
      <c r="K130" s="11"/>
      <c r="L130" s="11"/>
      <c r="M130" s="6">
        <f t="shared" si="35"/>
        <v>66750</v>
      </c>
      <c r="N130" s="40" t="s">
        <v>207</v>
      </c>
      <c r="O130" s="38">
        <f t="shared" si="36"/>
        <v>0</v>
      </c>
      <c r="P130" s="38" t="e">
        <f t="shared" ca="1" si="29"/>
        <v>#NAME?</v>
      </c>
      <c r="Q130" s="38" t="e">
        <f t="shared" ca="1" si="37"/>
        <v>#NAME?</v>
      </c>
      <c r="R130" s="38" t="e">
        <f t="shared" ca="1" si="38"/>
        <v>#NAME?</v>
      </c>
      <c r="S130" s="38">
        <f t="shared" si="39"/>
        <v>0</v>
      </c>
      <c r="T130" s="38" t="e">
        <f t="shared" ca="1" si="40"/>
        <v>#NAME?</v>
      </c>
    </row>
    <row r="131" spans="1:20" ht="20.25" customHeight="1">
      <c r="A131" s="62"/>
      <c r="B131" s="6">
        <f t="shared" si="30"/>
        <v>67115</v>
      </c>
      <c r="C131" s="117" t="str">
        <f t="shared" si="31"/>
        <v/>
      </c>
      <c r="D131" s="131">
        <f t="shared" si="32"/>
        <v>25400.25</v>
      </c>
      <c r="E131" s="131">
        <f t="shared" si="28"/>
        <v>25400.25</v>
      </c>
      <c r="F131" s="138" t="e">
        <f t="shared" ca="1" si="33"/>
        <v>#NAME?</v>
      </c>
      <c r="G131" s="132" t="e">
        <f t="shared" ca="1" si="26"/>
        <v>#NAME?</v>
      </c>
      <c r="H131" s="132" t="e">
        <f t="shared" ca="1" si="27"/>
        <v>#NAME?</v>
      </c>
      <c r="I131" s="9" t="e">
        <f t="shared" ca="1" si="34"/>
        <v>#NAME?</v>
      </c>
      <c r="J131" s="66"/>
      <c r="K131" s="11"/>
      <c r="L131" s="11"/>
      <c r="M131" s="6">
        <f t="shared" si="35"/>
        <v>66932</v>
      </c>
      <c r="N131" s="40" t="s">
        <v>208</v>
      </c>
      <c r="O131" s="38">
        <f t="shared" si="36"/>
        <v>0</v>
      </c>
      <c r="P131" s="38" t="e">
        <f t="shared" ca="1" si="29"/>
        <v>#NAME?</v>
      </c>
      <c r="Q131" s="38" t="e">
        <f t="shared" ca="1" si="37"/>
        <v>#NAME?</v>
      </c>
      <c r="R131" s="38" t="e">
        <f t="shared" ca="1" si="38"/>
        <v>#NAME?</v>
      </c>
      <c r="S131" s="38">
        <f t="shared" si="39"/>
        <v>0</v>
      </c>
      <c r="T131" s="38" t="e">
        <f t="shared" ca="1" si="40"/>
        <v>#NAME?</v>
      </c>
    </row>
    <row r="132" spans="1:20" ht="20.25" customHeight="1">
      <c r="A132" s="62"/>
      <c r="B132" s="6">
        <f t="shared" si="30"/>
        <v>67298</v>
      </c>
      <c r="C132" s="117" t="str">
        <f t="shared" si="31"/>
        <v/>
      </c>
      <c r="D132" s="131">
        <f t="shared" si="32"/>
        <v>25400.25</v>
      </c>
      <c r="E132" s="131">
        <f t="shared" si="28"/>
        <v>25400.25</v>
      </c>
      <c r="F132" s="138" t="e">
        <f t="shared" ca="1" si="33"/>
        <v>#NAME?</v>
      </c>
      <c r="G132" s="132" t="e">
        <f t="shared" ca="1" si="26"/>
        <v>#NAME?</v>
      </c>
      <c r="H132" s="132" t="e">
        <f t="shared" ca="1" si="27"/>
        <v>#NAME?</v>
      </c>
      <c r="I132" s="9" t="e">
        <f t="shared" ca="1" si="34"/>
        <v>#NAME?</v>
      </c>
      <c r="J132" s="66"/>
      <c r="K132" s="11"/>
      <c r="L132" s="11"/>
      <c r="M132" s="6">
        <f t="shared" si="35"/>
        <v>67115</v>
      </c>
      <c r="N132" s="40" t="s">
        <v>209</v>
      </c>
      <c r="O132" s="38">
        <f t="shared" si="36"/>
        <v>0</v>
      </c>
      <c r="P132" s="38" t="e">
        <f t="shared" ca="1" si="29"/>
        <v>#NAME?</v>
      </c>
      <c r="Q132" s="38" t="e">
        <f t="shared" ca="1" si="37"/>
        <v>#NAME?</v>
      </c>
      <c r="R132" s="38" t="e">
        <f t="shared" ca="1" si="38"/>
        <v>#NAME?</v>
      </c>
      <c r="S132" s="38">
        <f t="shared" si="39"/>
        <v>0</v>
      </c>
      <c r="T132" s="38" t="e">
        <f t="shared" ca="1" si="40"/>
        <v>#NAME?</v>
      </c>
    </row>
    <row r="133" spans="1:20" ht="20.25" customHeight="1">
      <c r="A133" s="62"/>
      <c r="B133" s="6">
        <f t="shared" si="30"/>
        <v>67481</v>
      </c>
      <c r="C133" s="117" t="str">
        <f t="shared" si="31"/>
        <v/>
      </c>
      <c r="D133" s="131">
        <f t="shared" si="32"/>
        <v>25400.25</v>
      </c>
      <c r="E133" s="131">
        <f t="shared" si="28"/>
        <v>25400.25</v>
      </c>
      <c r="F133" s="138" t="e">
        <f t="shared" ca="1" si="33"/>
        <v>#NAME?</v>
      </c>
      <c r="G133" s="132" t="e">
        <f t="shared" ca="1" si="26"/>
        <v>#NAME?</v>
      </c>
      <c r="H133" s="132" t="e">
        <f t="shared" ca="1" si="27"/>
        <v>#NAME?</v>
      </c>
      <c r="I133" s="9" t="e">
        <f t="shared" ca="1" si="34"/>
        <v>#NAME?</v>
      </c>
      <c r="J133" s="66"/>
      <c r="K133" s="11"/>
      <c r="L133" s="11"/>
      <c r="M133" s="6">
        <f t="shared" si="35"/>
        <v>67298</v>
      </c>
      <c r="N133" s="40" t="s">
        <v>210</v>
      </c>
      <c r="O133" s="38">
        <f t="shared" si="36"/>
        <v>0</v>
      </c>
      <c r="P133" s="38" t="e">
        <f t="shared" ca="1" si="29"/>
        <v>#NAME?</v>
      </c>
      <c r="Q133" s="38" t="e">
        <f t="shared" ca="1" si="37"/>
        <v>#NAME?</v>
      </c>
      <c r="R133" s="38" t="e">
        <f t="shared" ca="1" si="38"/>
        <v>#NAME?</v>
      </c>
      <c r="S133" s="38">
        <f t="shared" si="39"/>
        <v>0</v>
      </c>
      <c r="T133" s="38" t="e">
        <f t="shared" ca="1" si="40"/>
        <v>#NAME?</v>
      </c>
    </row>
    <row r="134" spans="1:20" ht="20.25" customHeight="1">
      <c r="A134" s="62"/>
      <c r="B134" s="6">
        <f t="shared" si="30"/>
        <v>67663</v>
      </c>
      <c r="C134" s="117" t="str">
        <f t="shared" si="31"/>
        <v/>
      </c>
      <c r="D134" s="131">
        <f t="shared" si="32"/>
        <v>25400.25</v>
      </c>
      <c r="E134" s="131">
        <f t="shared" si="28"/>
        <v>25400.25</v>
      </c>
      <c r="F134" s="138" t="e">
        <f t="shared" ca="1" si="33"/>
        <v>#NAME?</v>
      </c>
      <c r="G134" s="132" t="e">
        <f t="shared" ca="1" si="26"/>
        <v>#NAME?</v>
      </c>
      <c r="H134" s="132" t="e">
        <f t="shared" ca="1" si="27"/>
        <v>#NAME?</v>
      </c>
      <c r="I134" s="9" t="e">
        <f t="shared" ca="1" si="34"/>
        <v>#NAME?</v>
      </c>
      <c r="J134" s="66"/>
      <c r="K134" s="11"/>
      <c r="L134" s="11"/>
      <c r="M134" s="6">
        <f t="shared" si="35"/>
        <v>67481</v>
      </c>
      <c r="N134" s="40" t="s">
        <v>211</v>
      </c>
      <c r="O134" s="38">
        <f t="shared" si="36"/>
        <v>0</v>
      </c>
      <c r="P134" s="38" t="e">
        <f t="shared" ca="1" si="29"/>
        <v>#NAME?</v>
      </c>
      <c r="Q134" s="38" t="e">
        <f t="shared" ca="1" si="37"/>
        <v>#NAME?</v>
      </c>
      <c r="R134" s="38" t="e">
        <f t="shared" ca="1" si="38"/>
        <v>#NAME?</v>
      </c>
      <c r="S134" s="38">
        <f t="shared" si="39"/>
        <v>0</v>
      </c>
      <c r="T134" s="38" t="e">
        <f t="shared" ca="1" si="40"/>
        <v>#NAME?</v>
      </c>
    </row>
    <row r="135" spans="1:20" ht="20.25" customHeight="1">
      <c r="A135" s="62"/>
      <c r="B135" s="6">
        <f t="shared" si="30"/>
        <v>67846</v>
      </c>
      <c r="C135" s="117" t="str">
        <f t="shared" si="31"/>
        <v/>
      </c>
      <c r="D135" s="131">
        <f t="shared" si="32"/>
        <v>25400.25</v>
      </c>
      <c r="E135" s="131">
        <f t="shared" si="28"/>
        <v>25400.25</v>
      </c>
      <c r="F135" s="138" t="e">
        <f t="shared" ca="1" si="33"/>
        <v>#NAME?</v>
      </c>
      <c r="G135" s="132" t="e">
        <f t="shared" ca="1" si="26"/>
        <v>#NAME?</v>
      </c>
      <c r="H135" s="132" t="e">
        <f t="shared" ca="1" si="27"/>
        <v>#NAME?</v>
      </c>
      <c r="I135" s="9" t="e">
        <f t="shared" ca="1" si="34"/>
        <v>#NAME?</v>
      </c>
      <c r="J135" s="66"/>
      <c r="K135" s="11"/>
      <c r="L135" s="11"/>
      <c r="M135" s="6">
        <f t="shared" si="35"/>
        <v>67663</v>
      </c>
      <c r="N135" s="40" t="s">
        <v>212</v>
      </c>
      <c r="O135" s="38">
        <f t="shared" si="36"/>
        <v>0</v>
      </c>
      <c r="P135" s="38" t="e">
        <f t="shared" ca="1" si="29"/>
        <v>#NAME?</v>
      </c>
      <c r="Q135" s="38" t="e">
        <f t="shared" ca="1" si="37"/>
        <v>#NAME?</v>
      </c>
      <c r="R135" s="38" t="e">
        <f t="shared" ca="1" si="38"/>
        <v>#NAME?</v>
      </c>
      <c r="S135" s="38">
        <f t="shared" si="39"/>
        <v>0</v>
      </c>
      <c r="T135" s="38" t="e">
        <f t="shared" ca="1" si="40"/>
        <v>#NAME?</v>
      </c>
    </row>
    <row r="136" spans="1:20" ht="20.25" customHeight="1">
      <c r="A136" s="62"/>
      <c r="B136" s="6">
        <f t="shared" si="30"/>
        <v>68028</v>
      </c>
      <c r="C136" s="117" t="str">
        <f t="shared" si="31"/>
        <v/>
      </c>
      <c r="D136" s="131">
        <f t="shared" si="32"/>
        <v>25400.25</v>
      </c>
      <c r="E136" s="131">
        <f t="shared" si="28"/>
        <v>25400.25</v>
      </c>
      <c r="F136" s="138" t="e">
        <f t="shared" ca="1" si="33"/>
        <v>#NAME?</v>
      </c>
      <c r="G136" s="132" t="e">
        <f t="shared" ca="1" si="26"/>
        <v>#NAME?</v>
      </c>
      <c r="H136" s="132" t="e">
        <f t="shared" ca="1" si="27"/>
        <v>#NAME?</v>
      </c>
      <c r="I136" s="9" t="e">
        <f t="shared" ca="1" si="34"/>
        <v>#NAME?</v>
      </c>
      <c r="J136" s="66"/>
      <c r="K136" s="11"/>
      <c r="L136" s="11"/>
      <c r="M136" s="6">
        <f t="shared" si="35"/>
        <v>67846</v>
      </c>
      <c r="N136" s="40" t="s">
        <v>213</v>
      </c>
      <c r="O136" s="38">
        <f t="shared" si="36"/>
        <v>0</v>
      </c>
      <c r="P136" s="38" t="e">
        <f t="shared" ca="1" si="29"/>
        <v>#NAME?</v>
      </c>
      <c r="Q136" s="38" t="e">
        <f t="shared" ca="1" si="37"/>
        <v>#NAME?</v>
      </c>
      <c r="R136" s="38" t="e">
        <f t="shared" ca="1" si="38"/>
        <v>#NAME?</v>
      </c>
      <c r="S136" s="38">
        <f t="shared" si="39"/>
        <v>0</v>
      </c>
      <c r="T136" s="38" t="e">
        <f t="shared" ca="1" si="40"/>
        <v>#NAME?</v>
      </c>
    </row>
    <row r="137" spans="1:20" ht="20.25" customHeight="1">
      <c r="A137" s="62"/>
      <c r="B137" s="6">
        <f t="shared" si="30"/>
        <v>68211</v>
      </c>
      <c r="C137" s="117" t="str">
        <f t="shared" si="31"/>
        <v/>
      </c>
      <c r="D137" s="131">
        <f t="shared" si="32"/>
        <v>25400.25</v>
      </c>
      <c r="E137" s="131">
        <f t="shared" si="28"/>
        <v>25400.25</v>
      </c>
      <c r="F137" s="138" t="e">
        <f t="shared" ca="1" si="33"/>
        <v>#NAME?</v>
      </c>
      <c r="G137" s="132" t="e">
        <f t="shared" ca="1" si="26"/>
        <v>#NAME?</v>
      </c>
      <c r="H137" s="132" t="e">
        <f t="shared" ca="1" si="27"/>
        <v>#NAME?</v>
      </c>
      <c r="I137" s="9" t="e">
        <f t="shared" ca="1" si="34"/>
        <v>#NAME?</v>
      </c>
      <c r="J137" s="66"/>
      <c r="K137" s="11"/>
      <c r="L137" s="11"/>
      <c r="M137" s="6">
        <f t="shared" si="35"/>
        <v>68028</v>
      </c>
      <c r="N137" s="40" t="s">
        <v>214</v>
      </c>
      <c r="O137" s="38">
        <f t="shared" si="36"/>
        <v>0</v>
      </c>
      <c r="P137" s="38" t="e">
        <f t="shared" ca="1" si="29"/>
        <v>#NAME?</v>
      </c>
      <c r="Q137" s="38" t="e">
        <f t="shared" ca="1" si="37"/>
        <v>#NAME?</v>
      </c>
      <c r="R137" s="38" t="e">
        <f t="shared" ca="1" si="38"/>
        <v>#NAME?</v>
      </c>
      <c r="S137" s="38">
        <f t="shared" si="39"/>
        <v>0</v>
      </c>
      <c r="T137" s="38" t="e">
        <f t="shared" ca="1" si="40"/>
        <v>#NAME?</v>
      </c>
    </row>
    <row r="138" spans="1:20" ht="20.25" customHeight="1">
      <c r="A138" s="62"/>
      <c r="B138" s="6">
        <f t="shared" si="30"/>
        <v>68393</v>
      </c>
      <c r="C138" s="117" t="str">
        <f t="shared" si="31"/>
        <v/>
      </c>
      <c r="D138" s="131">
        <f t="shared" si="32"/>
        <v>25400.25</v>
      </c>
      <c r="E138" s="131">
        <f t="shared" si="28"/>
        <v>25400.25</v>
      </c>
      <c r="F138" s="138" t="e">
        <f t="shared" ca="1" si="33"/>
        <v>#NAME?</v>
      </c>
      <c r="G138" s="132" t="e">
        <f t="shared" ca="1" si="26"/>
        <v>#NAME?</v>
      </c>
      <c r="H138" s="132" t="e">
        <f t="shared" ca="1" si="27"/>
        <v>#NAME?</v>
      </c>
      <c r="I138" s="9" t="e">
        <f t="shared" ca="1" si="34"/>
        <v>#NAME?</v>
      </c>
      <c r="J138" s="66"/>
      <c r="K138" s="11"/>
      <c r="L138" s="11"/>
      <c r="M138" s="6">
        <f t="shared" si="35"/>
        <v>68211</v>
      </c>
      <c r="N138" s="40" t="s">
        <v>215</v>
      </c>
      <c r="O138" s="38">
        <f t="shared" si="36"/>
        <v>0</v>
      </c>
      <c r="P138" s="38" t="e">
        <f t="shared" ca="1" si="29"/>
        <v>#NAME?</v>
      </c>
      <c r="Q138" s="38" t="e">
        <f t="shared" ca="1" si="37"/>
        <v>#NAME?</v>
      </c>
      <c r="R138" s="38" t="e">
        <f t="shared" ca="1" si="38"/>
        <v>#NAME?</v>
      </c>
      <c r="S138" s="38">
        <f t="shared" si="39"/>
        <v>0</v>
      </c>
      <c r="T138" s="38" t="e">
        <f t="shared" ca="1" si="40"/>
        <v>#NAME?</v>
      </c>
    </row>
    <row r="139" spans="1:20" ht="20.25" customHeight="1">
      <c r="A139" s="62"/>
      <c r="B139" s="6">
        <f t="shared" si="30"/>
        <v>68576</v>
      </c>
      <c r="C139" s="117" t="str">
        <f t="shared" si="31"/>
        <v/>
      </c>
      <c r="D139" s="131">
        <f t="shared" si="32"/>
        <v>25400.25</v>
      </c>
      <c r="E139" s="131">
        <f t="shared" si="28"/>
        <v>25400.25</v>
      </c>
      <c r="F139" s="138" t="e">
        <f t="shared" ca="1" si="33"/>
        <v>#NAME?</v>
      </c>
      <c r="G139" s="132" t="e">
        <f t="shared" ca="1" si="26"/>
        <v>#NAME?</v>
      </c>
      <c r="H139" s="132" t="e">
        <f t="shared" ca="1" si="27"/>
        <v>#NAME?</v>
      </c>
      <c r="I139" s="9" t="e">
        <f t="shared" ca="1" si="34"/>
        <v>#NAME?</v>
      </c>
      <c r="J139" s="66"/>
      <c r="K139" s="11"/>
      <c r="L139" s="11"/>
      <c r="M139" s="6">
        <f t="shared" si="35"/>
        <v>68393</v>
      </c>
      <c r="N139" s="40" t="s">
        <v>216</v>
      </c>
      <c r="O139" s="38">
        <f t="shared" si="36"/>
        <v>0</v>
      </c>
      <c r="P139" s="38" t="e">
        <f t="shared" ca="1" si="29"/>
        <v>#NAME?</v>
      </c>
      <c r="Q139" s="38" t="e">
        <f t="shared" ca="1" si="37"/>
        <v>#NAME?</v>
      </c>
      <c r="R139" s="38" t="e">
        <f t="shared" ca="1" si="38"/>
        <v>#NAME?</v>
      </c>
      <c r="S139" s="38">
        <f t="shared" si="39"/>
        <v>0</v>
      </c>
      <c r="T139" s="38" t="e">
        <f t="shared" ca="1" si="40"/>
        <v>#NAME?</v>
      </c>
    </row>
    <row r="140" spans="1:20" ht="20.25" customHeight="1">
      <c r="A140" s="62"/>
      <c r="B140" s="6">
        <f t="shared" si="30"/>
        <v>68759</v>
      </c>
      <c r="C140" s="117" t="str">
        <f t="shared" si="31"/>
        <v/>
      </c>
      <c r="D140" s="131">
        <f t="shared" si="32"/>
        <v>25400.25</v>
      </c>
      <c r="E140" s="131">
        <f t="shared" si="28"/>
        <v>25400.25</v>
      </c>
      <c r="F140" s="138" t="e">
        <f t="shared" ca="1" si="33"/>
        <v>#NAME?</v>
      </c>
      <c r="G140" s="132" t="e">
        <f t="shared" ca="1" si="26"/>
        <v>#NAME?</v>
      </c>
      <c r="H140" s="132" t="e">
        <f t="shared" ca="1" si="27"/>
        <v>#NAME?</v>
      </c>
      <c r="I140" s="9" t="e">
        <f t="shared" ca="1" si="34"/>
        <v>#NAME?</v>
      </c>
      <c r="J140" s="66"/>
      <c r="K140" s="11"/>
      <c r="L140" s="11"/>
      <c r="M140" s="6">
        <f t="shared" si="35"/>
        <v>68576</v>
      </c>
      <c r="N140" s="40" t="s">
        <v>217</v>
      </c>
      <c r="O140" s="38">
        <f t="shared" si="36"/>
        <v>0</v>
      </c>
      <c r="P140" s="38" t="e">
        <f t="shared" ca="1" si="29"/>
        <v>#NAME?</v>
      </c>
      <c r="Q140" s="38" t="e">
        <f t="shared" ca="1" si="37"/>
        <v>#NAME?</v>
      </c>
      <c r="R140" s="38" t="e">
        <f t="shared" ca="1" si="38"/>
        <v>#NAME?</v>
      </c>
      <c r="S140" s="38">
        <f t="shared" si="39"/>
        <v>0</v>
      </c>
      <c r="T140" s="38" t="e">
        <f t="shared" ca="1" si="40"/>
        <v>#NAME?</v>
      </c>
    </row>
    <row r="141" spans="1:20" ht="20.25" customHeight="1">
      <c r="A141" s="62"/>
      <c r="B141" s="6">
        <f t="shared" si="30"/>
        <v>68942</v>
      </c>
      <c r="C141" s="117" t="str">
        <f t="shared" si="31"/>
        <v/>
      </c>
      <c r="D141" s="131">
        <f t="shared" si="32"/>
        <v>25400.25</v>
      </c>
      <c r="E141" s="131">
        <f t="shared" si="28"/>
        <v>25400.25</v>
      </c>
      <c r="F141" s="138" t="e">
        <f t="shared" ca="1" si="33"/>
        <v>#NAME?</v>
      </c>
      <c r="G141" s="132" t="e">
        <f t="shared" ca="1" si="26"/>
        <v>#NAME?</v>
      </c>
      <c r="H141" s="132" t="e">
        <f t="shared" ca="1" si="27"/>
        <v>#NAME?</v>
      </c>
      <c r="I141" s="9" t="e">
        <f t="shared" ca="1" si="34"/>
        <v>#NAME?</v>
      </c>
      <c r="J141" s="66"/>
      <c r="K141" s="11"/>
      <c r="L141" s="11"/>
      <c r="M141" s="6">
        <f t="shared" si="35"/>
        <v>68759</v>
      </c>
      <c r="N141" s="40" t="s">
        <v>218</v>
      </c>
      <c r="O141" s="38">
        <f t="shared" si="36"/>
        <v>0</v>
      </c>
      <c r="P141" s="38" t="e">
        <f t="shared" ca="1" si="29"/>
        <v>#NAME?</v>
      </c>
      <c r="Q141" s="38" t="e">
        <f t="shared" ca="1" si="37"/>
        <v>#NAME?</v>
      </c>
      <c r="R141" s="38" t="e">
        <f t="shared" ca="1" si="38"/>
        <v>#NAME?</v>
      </c>
      <c r="S141" s="38">
        <f t="shared" si="39"/>
        <v>0</v>
      </c>
      <c r="T141" s="38" t="e">
        <f t="shared" ca="1" si="40"/>
        <v>#NAME?</v>
      </c>
    </row>
    <row r="142" spans="1:20" ht="20.25" customHeight="1">
      <c r="A142" s="62"/>
      <c r="B142" s="6">
        <f t="shared" si="30"/>
        <v>69124</v>
      </c>
      <c r="C142" s="117" t="str">
        <f t="shared" si="31"/>
        <v/>
      </c>
      <c r="D142" s="131">
        <f t="shared" si="32"/>
        <v>25400.25</v>
      </c>
      <c r="E142" s="131">
        <f t="shared" si="28"/>
        <v>25400.25</v>
      </c>
      <c r="F142" s="138" t="e">
        <f t="shared" ca="1" si="33"/>
        <v>#NAME?</v>
      </c>
      <c r="G142" s="132" t="e">
        <f t="shared" ca="1" si="26"/>
        <v>#NAME?</v>
      </c>
      <c r="H142" s="132" t="e">
        <f t="shared" ca="1" si="27"/>
        <v>#NAME?</v>
      </c>
      <c r="I142" s="9" t="e">
        <f t="shared" ca="1" si="34"/>
        <v>#NAME?</v>
      </c>
      <c r="J142" s="66"/>
      <c r="K142" s="11"/>
      <c r="L142" s="11"/>
      <c r="M142" s="6">
        <f t="shared" si="35"/>
        <v>68942</v>
      </c>
      <c r="N142" s="40" t="s">
        <v>219</v>
      </c>
      <c r="O142" s="38">
        <f t="shared" si="36"/>
        <v>0</v>
      </c>
      <c r="P142" s="38" t="e">
        <f t="shared" ca="1" si="29"/>
        <v>#NAME?</v>
      </c>
      <c r="Q142" s="38" t="e">
        <f t="shared" ca="1" si="37"/>
        <v>#NAME?</v>
      </c>
      <c r="R142" s="38" t="e">
        <f t="shared" ca="1" si="38"/>
        <v>#NAME?</v>
      </c>
      <c r="S142" s="38">
        <f t="shared" si="39"/>
        <v>0</v>
      </c>
      <c r="T142" s="38" t="e">
        <f t="shared" ca="1" si="40"/>
        <v>#NAME?</v>
      </c>
    </row>
    <row r="143" spans="1:20" ht="20.25" customHeight="1">
      <c r="A143" s="62"/>
      <c r="B143" s="6">
        <f t="shared" si="30"/>
        <v>69307</v>
      </c>
      <c r="C143" s="117" t="str">
        <f t="shared" si="31"/>
        <v/>
      </c>
      <c r="D143" s="131">
        <f t="shared" si="32"/>
        <v>25400.25</v>
      </c>
      <c r="E143" s="131">
        <f t="shared" si="28"/>
        <v>25400.25</v>
      </c>
      <c r="F143" s="138" t="e">
        <f t="shared" ca="1" si="33"/>
        <v>#NAME?</v>
      </c>
      <c r="G143" s="132" t="e">
        <f t="shared" ca="1" si="26"/>
        <v>#NAME?</v>
      </c>
      <c r="H143" s="132" t="e">
        <f t="shared" ca="1" si="27"/>
        <v>#NAME?</v>
      </c>
      <c r="I143" s="9" t="e">
        <f t="shared" ca="1" si="34"/>
        <v>#NAME?</v>
      </c>
      <c r="J143" s="66"/>
      <c r="K143" s="11"/>
      <c r="L143" s="11"/>
      <c r="M143" s="6">
        <f t="shared" si="35"/>
        <v>69124</v>
      </c>
      <c r="N143" s="40" t="s">
        <v>220</v>
      </c>
      <c r="O143" s="38">
        <f t="shared" si="36"/>
        <v>0</v>
      </c>
      <c r="P143" s="38" t="e">
        <f t="shared" ca="1" si="29"/>
        <v>#NAME?</v>
      </c>
      <c r="Q143" s="38" t="e">
        <f t="shared" ca="1" si="37"/>
        <v>#NAME?</v>
      </c>
      <c r="R143" s="38" t="e">
        <f t="shared" ca="1" si="38"/>
        <v>#NAME?</v>
      </c>
      <c r="S143" s="38">
        <f t="shared" si="39"/>
        <v>0</v>
      </c>
      <c r="T143" s="38" t="e">
        <f t="shared" ca="1" si="40"/>
        <v>#NAME?</v>
      </c>
    </row>
    <row r="144" spans="1:20" ht="20.25" customHeight="1">
      <c r="A144" s="62"/>
      <c r="B144" s="6">
        <f t="shared" si="30"/>
        <v>69489</v>
      </c>
      <c r="C144" s="117" t="str">
        <f t="shared" si="31"/>
        <v/>
      </c>
      <c r="D144" s="131">
        <f t="shared" si="32"/>
        <v>25400.25</v>
      </c>
      <c r="E144" s="131">
        <f t="shared" si="28"/>
        <v>25400.25</v>
      </c>
      <c r="F144" s="138" t="e">
        <f t="shared" ca="1" si="33"/>
        <v>#NAME?</v>
      </c>
      <c r="G144" s="132" t="e">
        <f t="shared" ca="1" si="26"/>
        <v>#NAME?</v>
      </c>
      <c r="H144" s="132" t="e">
        <f t="shared" ca="1" si="27"/>
        <v>#NAME?</v>
      </c>
      <c r="I144" s="9" t="e">
        <f t="shared" ca="1" si="34"/>
        <v>#NAME?</v>
      </c>
      <c r="J144" s="66"/>
      <c r="K144" s="11"/>
      <c r="L144" s="11"/>
      <c r="M144" s="6">
        <f t="shared" si="35"/>
        <v>69307</v>
      </c>
      <c r="N144" s="40" t="s">
        <v>221</v>
      </c>
      <c r="O144" s="38">
        <f t="shared" si="36"/>
        <v>0</v>
      </c>
      <c r="P144" s="38" t="e">
        <f t="shared" ca="1" si="29"/>
        <v>#NAME?</v>
      </c>
      <c r="Q144" s="38" t="e">
        <f t="shared" ca="1" si="37"/>
        <v>#NAME?</v>
      </c>
      <c r="R144" s="38" t="e">
        <f t="shared" ca="1" si="38"/>
        <v>#NAME?</v>
      </c>
      <c r="S144" s="38">
        <f t="shared" si="39"/>
        <v>0</v>
      </c>
      <c r="T144" s="38" t="e">
        <f t="shared" ca="1" si="40"/>
        <v>#NAME?</v>
      </c>
    </row>
    <row r="145" spans="1:20" ht="20.25" customHeight="1">
      <c r="A145" s="62"/>
      <c r="B145" s="6">
        <f t="shared" si="30"/>
        <v>69672</v>
      </c>
      <c r="C145" s="117" t="str">
        <f t="shared" si="31"/>
        <v/>
      </c>
      <c r="D145" s="131">
        <f t="shared" si="32"/>
        <v>25400.25</v>
      </c>
      <c r="E145" s="131">
        <f t="shared" si="28"/>
        <v>25400.25</v>
      </c>
      <c r="F145" s="138" t="e">
        <f t="shared" ca="1" si="33"/>
        <v>#NAME?</v>
      </c>
      <c r="G145" s="132" t="e">
        <f t="shared" ca="1" si="26"/>
        <v>#NAME?</v>
      </c>
      <c r="H145" s="132" t="e">
        <f t="shared" ca="1" si="27"/>
        <v>#NAME?</v>
      </c>
      <c r="I145" s="9" t="e">
        <f t="shared" ca="1" si="34"/>
        <v>#NAME?</v>
      </c>
      <c r="J145" s="66"/>
      <c r="K145" s="11"/>
      <c r="L145" s="11"/>
      <c r="M145" s="6">
        <f t="shared" si="35"/>
        <v>69489</v>
      </c>
      <c r="N145" s="40" t="s">
        <v>222</v>
      </c>
      <c r="O145" s="38">
        <f t="shared" si="36"/>
        <v>0</v>
      </c>
      <c r="P145" s="38" t="e">
        <f t="shared" ca="1" si="29"/>
        <v>#NAME?</v>
      </c>
      <c r="Q145" s="38" t="e">
        <f t="shared" ca="1" si="37"/>
        <v>#NAME?</v>
      </c>
      <c r="R145" s="38" t="e">
        <f t="shared" ca="1" si="38"/>
        <v>#NAME?</v>
      </c>
      <c r="S145" s="38">
        <f t="shared" si="39"/>
        <v>0</v>
      </c>
      <c r="T145" s="38" t="e">
        <f t="shared" ca="1" si="40"/>
        <v>#NAME?</v>
      </c>
    </row>
    <row r="146" spans="1:20" ht="20.25" customHeight="1">
      <c r="A146" s="62"/>
      <c r="B146" s="6">
        <f t="shared" si="30"/>
        <v>69854</v>
      </c>
      <c r="C146" s="117" t="str">
        <f t="shared" si="31"/>
        <v/>
      </c>
      <c r="D146" s="131">
        <f t="shared" si="32"/>
        <v>25400.25</v>
      </c>
      <c r="E146" s="131">
        <f t="shared" si="28"/>
        <v>25400.25</v>
      </c>
      <c r="F146" s="138" t="e">
        <f t="shared" ca="1" si="33"/>
        <v>#NAME?</v>
      </c>
      <c r="G146" s="132" t="e">
        <f t="shared" ca="1" si="26"/>
        <v>#NAME?</v>
      </c>
      <c r="H146" s="132" t="e">
        <f t="shared" ca="1" si="27"/>
        <v>#NAME?</v>
      </c>
      <c r="I146" s="9" t="e">
        <f t="shared" ca="1" si="34"/>
        <v>#NAME?</v>
      </c>
      <c r="J146" s="66"/>
      <c r="K146" s="11"/>
      <c r="L146" s="11"/>
      <c r="M146" s="6">
        <f t="shared" si="35"/>
        <v>69672</v>
      </c>
      <c r="N146" s="40" t="s">
        <v>223</v>
      </c>
      <c r="O146" s="38">
        <f t="shared" si="36"/>
        <v>0</v>
      </c>
      <c r="P146" s="38" t="e">
        <f t="shared" ca="1" si="29"/>
        <v>#NAME?</v>
      </c>
      <c r="Q146" s="38" t="e">
        <f t="shared" ca="1" si="37"/>
        <v>#NAME?</v>
      </c>
      <c r="R146" s="38" t="e">
        <f t="shared" ca="1" si="38"/>
        <v>#NAME?</v>
      </c>
      <c r="S146" s="38">
        <f t="shared" si="39"/>
        <v>0</v>
      </c>
      <c r="T146" s="38" t="e">
        <f t="shared" ca="1" si="40"/>
        <v>#NAME?</v>
      </c>
    </row>
    <row r="147" spans="1:20" ht="20.25" customHeight="1">
      <c r="A147" s="62"/>
      <c r="B147" s="6">
        <f t="shared" si="30"/>
        <v>70037</v>
      </c>
      <c r="C147" s="117" t="str">
        <f t="shared" si="31"/>
        <v/>
      </c>
      <c r="D147" s="131">
        <f t="shared" si="32"/>
        <v>25400.25</v>
      </c>
      <c r="E147" s="131">
        <f t="shared" si="28"/>
        <v>25400.25</v>
      </c>
      <c r="F147" s="138" t="e">
        <f t="shared" ca="1" si="33"/>
        <v>#NAME?</v>
      </c>
      <c r="G147" s="132" t="e">
        <f t="shared" ca="1" si="26"/>
        <v>#NAME?</v>
      </c>
      <c r="H147" s="132" t="e">
        <f t="shared" ca="1" si="27"/>
        <v>#NAME?</v>
      </c>
      <c r="I147" s="9" t="e">
        <f t="shared" ca="1" si="34"/>
        <v>#NAME?</v>
      </c>
      <c r="J147" s="66"/>
      <c r="K147" s="11"/>
      <c r="L147" s="11"/>
      <c r="M147" s="6">
        <f t="shared" si="35"/>
        <v>69854</v>
      </c>
      <c r="N147" s="40" t="s">
        <v>224</v>
      </c>
      <c r="O147" s="38">
        <f t="shared" si="36"/>
        <v>0</v>
      </c>
      <c r="P147" s="38" t="e">
        <f t="shared" ca="1" si="29"/>
        <v>#NAME?</v>
      </c>
      <c r="Q147" s="38" t="e">
        <f t="shared" ca="1" si="37"/>
        <v>#NAME?</v>
      </c>
      <c r="R147" s="38" t="e">
        <f t="shared" ca="1" si="38"/>
        <v>#NAME?</v>
      </c>
      <c r="S147" s="38">
        <f t="shared" si="39"/>
        <v>0</v>
      </c>
      <c r="T147" s="38" t="e">
        <f t="shared" ca="1" si="40"/>
        <v>#NAME?</v>
      </c>
    </row>
    <row r="148" spans="1:20" ht="20.25" customHeight="1">
      <c r="A148" s="62"/>
      <c r="B148" s="6">
        <f t="shared" si="30"/>
        <v>70220</v>
      </c>
      <c r="C148" s="117" t="str">
        <f t="shared" si="31"/>
        <v/>
      </c>
      <c r="D148" s="131">
        <f t="shared" si="32"/>
        <v>25400.25</v>
      </c>
      <c r="E148" s="131">
        <f t="shared" si="28"/>
        <v>25400.25</v>
      </c>
      <c r="F148" s="138" t="e">
        <f t="shared" ca="1" si="33"/>
        <v>#NAME?</v>
      </c>
      <c r="G148" s="132" t="e">
        <f t="shared" ref="G148:G160" ca="1" si="41">ROUNDDOWN(F148*0%,-1)</f>
        <v>#NAME?</v>
      </c>
      <c r="H148" s="132" t="e">
        <f t="shared" ref="H148:H160" ca="1" si="42">IF($E$4="개인",F148*1.4%,F148*2.8%)</f>
        <v>#NAME?</v>
      </c>
      <c r="I148" s="9" t="e">
        <f t="shared" ca="1" si="34"/>
        <v>#NAME?</v>
      </c>
      <c r="J148" s="66"/>
      <c r="K148" s="11"/>
      <c r="L148" s="11"/>
      <c r="M148" s="6">
        <f t="shared" si="35"/>
        <v>70037</v>
      </c>
      <c r="N148" s="40" t="s">
        <v>225</v>
      </c>
      <c r="O148" s="38">
        <f t="shared" si="36"/>
        <v>0</v>
      </c>
      <c r="P148" s="38" t="e">
        <f t="shared" ca="1" si="29"/>
        <v>#NAME?</v>
      </c>
      <c r="Q148" s="38" t="e">
        <f t="shared" ca="1" si="37"/>
        <v>#NAME?</v>
      </c>
      <c r="R148" s="38" t="e">
        <f t="shared" ca="1" si="38"/>
        <v>#NAME?</v>
      </c>
      <c r="S148" s="38">
        <f t="shared" si="39"/>
        <v>0</v>
      </c>
      <c r="T148" s="38" t="e">
        <f t="shared" ca="1" si="40"/>
        <v>#NAME?</v>
      </c>
    </row>
    <row r="149" spans="1:20" ht="20.25" customHeight="1">
      <c r="A149" s="62"/>
      <c r="B149" s="6">
        <f t="shared" si="30"/>
        <v>70403</v>
      </c>
      <c r="C149" s="117" t="str">
        <f t="shared" si="31"/>
        <v/>
      </c>
      <c r="D149" s="131">
        <f t="shared" si="32"/>
        <v>25400.25</v>
      </c>
      <c r="E149" s="131">
        <f t="shared" ref="E149:E161" si="43">IF(B149="","",D149)</f>
        <v>25400.25</v>
      </c>
      <c r="F149" s="138" t="e">
        <f t="shared" ca="1" si="33"/>
        <v>#NAME?</v>
      </c>
      <c r="G149" s="132" t="e">
        <f t="shared" ca="1" si="41"/>
        <v>#NAME?</v>
      </c>
      <c r="H149" s="132" t="e">
        <f t="shared" ca="1" si="42"/>
        <v>#NAME?</v>
      </c>
      <c r="I149" s="9" t="e">
        <f t="shared" ca="1" si="34"/>
        <v>#NAME?</v>
      </c>
      <c r="J149" s="66"/>
      <c r="K149" s="11"/>
      <c r="L149" s="11"/>
      <c r="M149" s="6">
        <f t="shared" si="35"/>
        <v>70220</v>
      </c>
      <c r="N149" s="40" t="s">
        <v>226</v>
      </c>
      <c r="O149" s="38">
        <f t="shared" si="36"/>
        <v>0</v>
      </c>
      <c r="P149" s="38" t="e">
        <f t="shared" ref="P149:P161" ca="1" si="44">$I$7*$G$8/365*(_xlfn.DAYS(B149,M149))</f>
        <v>#NAME?</v>
      </c>
      <c r="Q149" s="38" t="e">
        <f t="shared" ca="1" si="37"/>
        <v>#NAME?</v>
      </c>
      <c r="R149" s="38" t="e">
        <f t="shared" ca="1" si="38"/>
        <v>#NAME?</v>
      </c>
      <c r="S149" s="38">
        <f t="shared" si="39"/>
        <v>0</v>
      </c>
      <c r="T149" s="38" t="e">
        <f t="shared" ca="1" si="40"/>
        <v>#NAME?</v>
      </c>
    </row>
    <row r="150" spans="1:20" ht="20.25" customHeight="1">
      <c r="A150" s="62"/>
      <c r="B150" s="6">
        <f t="shared" si="30"/>
        <v>70585</v>
      </c>
      <c r="C150" s="117" t="str">
        <f t="shared" si="31"/>
        <v/>
      </c>
      <c r="D150" s="131">
        <f t="shared" si="32"/>
        <v>25400.25</v>
      </c>
      <c r="E150" s="131">
        <f t="shared" si="43"/>
        <v>25400.25</v>
      </c>
      <c r="F150" s="138" t="e">
        <f t="shared" ca="1" si="33"/>
        <v>#NAME?</v>
      </c>
      <c r="G150" s="132" t="e">
        <f t="shared" ca="1" si="41"/>
        <v>#NAME?</v>
      </c>
      <c r="H150" s="132" t="e">
        <f t="shared" ca="1" si="42"/>
        <v>#NAME?</v>
      </c>
      <c r="I150" s="9" t="e">
        <f t="shared" ca="1" si="34"/>
        <v>#NAME?</v>
      </c>
      <c r="J150" s="66"/>
      <c r="K150" s="11"/>
      <c r="L150" s="11"/>
      <c r="M150" s="6">
        <f t="shared" si="35"/>
        <v>70403</v>
      </c>
      <c r="N150" s="40" t="s">
        <v>227</v>
      </c>
      <c r="O150" s="38">
        <f t="shared" si="36"/>
        <v>0</v>
      </c>
      <c r="P150" s="38" t="e">
        <f t="shared" ca="1" si="44"/>
        <v>#NAME?</v>
      </c>
      <c r="Q150" s="38" t="e">
        <f t="shared" ca="1" si="37"/>
        <v>#NAME?</v>
      </c>
      <c r="R150" s="38" t="e">
        <f t="shared" ca="1" si="38"/>
        <v>#NAME?</v>
      </c>
      <c r="S150" s="38">
        <f t="shared" si="39"/>
        <v>0</v>
      </c>
      <c r="T150" s="38" t="e">
        <f t="shared" ca="1" si="40"/>
        <v>#NAME?</v>
      </c>
    </row>
    <row r="151" spans="1:20" ht="20.25" customHeight="1">
      <c r="A151" s="62"/>
      <c r="B151" s="6">
        <f t="shared" si="30"/>
        <v>70768</v>
      </c>
      <c r="C151" s="117" t="str">
        <f t="shared" si="31"/>
        <v/>
      </c>
      <c r="D151" s="131">
        <f t="shared" si="32"/>
        <v>25400.25</v>
      </c>
      <c r="E151" s="131">
        <f t="shared" si="43"/>
        <v>25400.25</v>
      </c>
      <c r="F151" s="138" t="e">
        <f t="shared" ca="1" si="33"/>
        <v>#NAME?</v>
      </c>
      <c r="G151" s="132" t="e">
        <f t="shared" ca="1" si="41"/>
        <v>#NAME?</v>
      </c>
      <c r="H151" s="132" t="e">
        <f t="shared" ca="1" si="42"/>
        <v>#NAME?</v>
      </c>
      <c r="I151" s="9" t="e">
        <f t="shared" ca="1" si="34"/>
        <v>#NAME?</v>
      </c>
      <c r="J151" s="66"/>
      <c r="K151" s="11"/>
      <c r="L151" s="11"/>
      <c r="M151" s="6">
        <f t="shared" si="35"/>
        <v>70585</v>
      </c>
      <c r="N151" s="40" t="s">
        <v>228</v>
      </c>
      <c r="O151" s="38">
        <f t="shared" si="36"/>
        <v>0</v>
      </c>
      <c r="P151" s="38" t="e">
        <f t="shared" ca="1" si="44"/>
        <v>#NAME?</v>
      </c>
      <c r="Q151" s="38" t="e">
        <f t="shared" ca="1" si="37"/>
        <v>#NAME?</v>
      </c>
      <c r="R151" s="38" t="e">
        <f t="shared" ca="1" si="38"/>
        <v>#NAME?</v>
      </c>
      <c r="S151" s="38">
        <f t="shared" si="39"/>
        <v>0</v>
      </c>
      <c r="T151" s="38" t="e">
        <f t="shared" ca="1" si="40"/>
        <v>#NAME?</v>
      </c>
    </row>
    <row r="152" spans="1:20" ht="20.25" customHeight="1">
      <c r="A152" s="62"/>
      <c r="B152" s="6">
        <f t="shared" si="30"/>
        <v>70950</v>
      </c>
      <c r="C152" s="117" t="str">
        <f t="shared" si="31"/>
        <v/>
      </c>
      <c r="D152" s="131">
        <f t="shared" si="32"/>
        <v>25400.25</v>
      </c>
      <c r="E152" s="131">
        <f t="shared" si="43"/>
        <v>25400.25</v>
      </c>
      <c r="F152" s="138" t="e">
        <f t="shared" ca="1" si="33"/>
        <v>#NAME?</v>
      </c>
      <c r="G152" s="132" t="e">
        <f t="shared" ca="1" si="41"/>
        <v>#NAME?</v>
      </c>
      <c r="H152" s="132" t="e">
        <f t="shared" ca="1" si="42"/>
        <v>#NAME?</v>
      </c>
      <c r="I152" s="9" t="e">
        <f t="shared" ca="1" si="34"/>
        <v>#NAME?</v>
      </c>
      <c r="J152" s="66"/>
      <c r="K152" s="11"/>
      <c r="L152" s="11"/>
      <c r="M152" s="6">
        <f t="shared" si="35"/>
        <v>70768</v>
      </c>
      <c r="N152" s="40" t="s">
        <v>229</v>
      </c>
      <c r="O152" s="38">
        <f t="shared" si="36"/>
        <v>0</v>
      </c>
      <c r="P152" s="38" t="e">
        <f t="shared" ca="1" si="44"/>
        <v>#NAME?</v>
      </c>
      <c r="Q152" s="38" t="e">
        <f t="shared" ca="1" si="37"/>
        <v>#NAME?</v>
      </c>
      <c r="R152" s="38" t="e">
        <f t="shared" ca="1" si="38"/>
        <v>#NAME?</v>
      </c>
      <c r="S152" s="38">
        <f t="shared" si="39"/>
        <v>0</v>
      </c>
      <c r="T152" s="38" t="e">
        <f t="shared" ca="1" si="40"/>
        <v>#NAME?</v>
      </c>
    </row>
    <row r="153" spans="1:20" ht="20.25" customHeight="1">
      <c r="A153" s="62"/>
      <c r="B153" s="6">
        <f t="shared" si="30"/>
        <v>71133</v>
      </c>
      <c r="C153" s="117" t="str">
        <f t="shared" si="31"/>
        <v/>
      </c>
      <c r="D153" s="131">
        <f t="shared" si="32"/>
        <v>25400.25</v>
      </c>
      <c r="E153" s="131">
        <f t="shared" si="43"/>
        <v>25400.25</v>
      </c>
      <c r="F153" s="138" t="e">
        <f t="shared" ca="1" si="33"/>
        <v>#NAME?</v>
      </c>
      <c r="G153" s="132" t="e">
        <f t="shared" ca="1" si="41"/>
        <v>#NAME?</v>
      </c>
      <c r="H153" s="132" t="e">
        <f t="shared" ca="1" si="42"/>
        <v>#NAME?</v>
      </c>
      <c r="I153" s="9" t="e">
        <f t="shared" ca="1" si="34"/>
        <v>#NAME?</v>
      </c>
      <c r="J153" s="66"/>
      <c r="K153" s="11"/>
      <c r="L153" s="11"/>
      <c r="M153" s="6">
        <f t="shared" si="35"/>
        <v>70950</v>
      </c>
      <c r="N153" s="40" t="s">
        <v>230</v>
      </c>
      <c r="O153" s="38">
        <f t="shared" si="36"/>
        <v>0</v>
      </c>
      <c r="P153" s="38" t="e">
        <f t="shared" ca="1" si="44"/>
        <v>#NAME?</v>
      </c>
      <c r="Q153" s="38" t="e">
        <f t="shared" ca="1" si="37"/>
        <v>#NAME?</v>
      </c>
      <c r="R153" s="38" t="e">
        <f t="shared" ca="1" si="38"/>
        <v>#NAME?</v>
      </c>
      <c r="S153" s="38">
        <f t="shared" si="39"/>
        <v>0</v>
      </c>
      <c r="T153" s="38" t="e">
        <f t="shared" ca="1" si="40"/>
        <v>#NAME?</v>
      </c>
    </row>
    <row r="154" spans="1:20" ht="20.25" customHeight="1">
      <c r="A154" s="62"/>
      <c r="B154" s="6">
        <f t="shared" si="30"/>
        <v>71315</v>
      </c>
      <c r="C154" s="117" t="str">
        <f t="shared" si="31"/>
        <v/>
      </c>
      <c r="D154" s="131">
        <f t="shared" si="32"/>
        <v>25400.25</v>
      </c>
      <c r="E154" s="131">
        <f t="shared" si="43"/>
        <v>25400.25</v>
      </c>
      <c r="F154" s="138" t="e">
        <f t="shared" ca="1" si="33"/>
        <v>#NAME?</v>
      </c>
      <c r="G154" s="132" t="e">
        <f t="shared" ca="1" si="41"/>
        <v>#NAME?</v>
      </c>
      <c r="H154" s="132" t="e">
        <f t="shared" ca="1" si="42"/>
        <v>#NAME?</v>
      </c>
      <c r="I154" s="9" t="e">
        <f t="shared" ca="1" si="34"/>
        <v>#NAME?</v>
      </c>
      <c r="J154" s="66"/>
      <c r="K154" s="11"/>
      <c r="L154" s="11"/>
      <c r="M154" s="6">
        <f t="shared" si="35"/>
        <v>71133</v>
      </c>
      <c r="N154" s="40" t="s">
        <v>231</v>
      </c>
      <c r="O154" s="38">
        <f t="shared" si="36"/>
        <v>0</v>
      </c>
      <c r="P154" s="38" t="e">
        <f t="shared" ca="1" si="44"/>
        <v>#NAME?</v>
      </c>
      <c r="Q154" s="38" t="e">
        <f t="shared" ca="1" si="37"/>
        <v>#NAME?</v>
      </c>
      <c r="R154" s="38" t="e">
        <f t="shared" ca="1" si="38"/>
        <v>#NAME?</v>
      </c>
      <c r="S154" s="38">
        <f t="shared" si="39"/>
        <v>0</v>
      </c>
      <c r="T154" s="38" t="e">
        <f t="shared" ca="1" si="40"/>
        <v>#NAME?</v>
      </c>
    </row>
    <row r="155" spans="1:20" ht="20.25" customHeight="1">
      <c r="A155" s="62"/>
      <c r="B155" s="6">
        <f t="shared" si="30"/>
        <v>71498</v>
      </c>
      <c r="C155" s="117" t="str">
        <f t="shared" si="31"/>
        <v/>
      </c>
      <c r="D155" s="131">
        <f t="shared" si="32"/>
        <v>25400.25</v>
      </c>
      <c r="E155" s="131">
        <f t="shared" si="43"/>
        <v>25400.25</v>
      </c>
      <c r="F155" s="138" t="e">
        <f t="shared" ca="1" si="33"/>
        <v>#NAME?</v>
      </c>
      <c r="G155" s="132" t="e">
        <f t="shared" ca="1" si="41"/>
        <v>#NAME?</v>
      </c>
      <c r="H155" s="132" t="e">
        <f t="shared" ca="1" si="42"/>
        <v>#NAME?</v>
      </c>
      <c r="I155" s="9" t="e">
        <f t="shared" ca="1" si="34"/>
        <v>#NAME?</v>
      </c>
      <c r="J155" s="66"/>
      <c r="K155" s="11"/>
      <c r="L155" s="11"/>
      <c r="M155" s="6">
        <f t="shared" si="35"/>
        <v>71315</v>
      </c>
      <c r="N155" s="40" t="s">
        <v>232</v>
      </c>
      <c r="O155" s="38">
        <f t="shared" si="36"/>
        <v>0</v>
      </c>
      <c r="P155" s="38" t="e">
        <f t="shared" ca="1" si="44"/>
        <v>#NAME?</v>
      </c>
      <c r="Q155" s="38" t="e">
        <f t="shared" ca="1" si="37"/>
        <v>#NAME?</v>
      </c>
      <c r="R155" s="38" t="e">
        <f t="shared" ca="1" si="38"/>
        <v>#NAME?</v>
      </c>
      <c r="S155" s="38">
        <f t="shared" si="39"/>
        <v>0</v>
      </c>
      <c r="T155" s="38" t="e">
        <f t="shared" ca="1" si="40"/>
        <v>#NAME?</v>
      </c>
    </row>
    <row r="156" spans="1:20" ht="20.25" customHeight="1">
      <c r="A156" s="62"/>
      <c r="B156" s="6">
        <f t="shared" si="30"/>
        <v>71681</v>
      </c>
      <c r="C156" s="117">
        <f t="shared" si="31"/>
        <v>639000</v>
      </c>
      <c r="D156" s="131">
        <f t="shared" si="32"/>
        <v>25400.25</v>
      </c>
      <c r="E156" s="131">
        <f t="shared" si="43"/>
        <v>25400.25</v>
      </c>
      <c r="F156" s="138" t="e">
        <f t="shared" ca="1" si="33"/>
        <v>#NAME?</v>
      </c>
      <c r="G156" s="132" t="e">
        <f t="shared" ca="1" si="41"/>
        <v>#NAME?</v>
      </c>
      <c r="H156" s="132" t="e">
        <f t="shared" ca="1" si="42"/>
        <v>#NAME?</v>
      </c>
      <c r="I156" s="9" t="e">
        <f t="shared" ca="1" si="34"/>
        <v>#NAME?</v>
      </c>
      <c r="J156" s="66"/>
      <c r="K156" s="11"/>
      <c r="L156" s="11"/>
      <c r="M156" s="6">
        <f t="shared" si="35"/>
        <v>71498</v>
      </c>
      <c r="N156" s="40" t="s">
        <v>233</v>
      </c>
      <c r="O156" s="38">
        <f t="shared" si="36"/>
        <v>0</v>
      </c>
      <c r="P156" s="38" t="e">
        <f t="shared" ca="1" si="44"/>
        <v>#NAME?</v>
      </c>
      <c r="Q156" s="38" t="e">
        <f t="shared" ca="1" si="37"/>
        <v>#NAME?</v>
      </c>
      <c r="R156" s="38" t="e">
        <f t="shared" ca="1" si="38"/>
        <v>#NAME?</v>
      </c>
      <c r="S156" s="38">
        <f t="shared" si="39"/>
        <v>0</v>
      </c>
      <c r="T156" s="38" t="e">
        <f t="shared" ca="1" si="40"/>
        <v>#NAME?</v>
      </c>
    </row>
    <row r="157" spans="1:20" ht="20.25" customHeight="1">
      <c r="A157" s="62"/>
      <c r="B157" s="6" t="str">
        <f t="shared" si="30"/>
        <v/>
      </c>
      <c r="C157" s="117" t="str">
        <f t="shared" si="31"/>
        <v/>
      </c>
      <c r="D157" s="131" t="str">
        <f t="shared" si="32"/>
        <v/>
      </c>
      <c r="E157" s="131" t="str">
        <f t="shared" si="43"/>
        <v/>
      </c>
      <c r="F157" s="138" t="str">
        <f t="shared" si="33"/>
        <v/>
      </c>
      <c r="G157" s="132" t="e">
        <f t="shared" si="41"/>
        <v>#VALUE!</v>
      </c>
      <c r="H157" s="132" t="e">
        <f t="shared" si="42"/>
        <v>#VALUE!</v>
      </c>
      <c r="I157" s="9" t="str">
        <f t="shared" si="34"/>
        <v/>
      </c>
      <c r="J157" s="66"/>
      <c r="K157" s="11"/>
      <c r="L157" s="11"/>
      <c r="M157" s="6" t="str">
        <f t="shared" si="35"/>
        <v/>
      </c>
      <c r="N157" s="40" t="s">
        <v>234</v>
      </c>
      <c r="O157" s="38">
        <f t="shared" si="36"/>
        <v>0</v>
      </c>
      <c r="P157" s="38" t="e">
        <f t="shared" ca="1" si="44"/>
        <v>#NAME?</v>
      </c>
      <c r="Q157" s="38" t="e">
        <f t="shared" ca="1" si="37"/>
        <v>#NAME?</v>
      </c>
      <c r="R157" s="38" t="e">
        <f t="shared" ca="1" si="38"/>
        <v>#NAME?</v>
      </c>
      <c r="S157" s="38">
        <f t="shared" si="39"/>
        <v>0</v>
      </c>
      <c r="T157" s="38" t="e">
        <f t="shared" ca="1" si="40"/>
        <v>#NAME?</v>
      </c>
    </row>
    <row r="158" spans="1:20" ht="20.25" customHeight="1">
      <c r="A158" s="62"/>
      <c r="B158" s="6" t="str">
        <f t="shared" si="30"/>
        <v/>
      </c>
      <c r="C158" s="117" t="str">
        <f t="shared" si="31"/>
        <v/>
      </c>
      <c r="D158" s="131" t="str">
        <f t="shared" si="32"/>
        <v/>
      </c>
      <c r="E158" s="131" t="str">
        <f t="shared" si="43"/>
        <v/>
      </c>
      <c r="F158" s="138" t="str">
        <f t="shared" si="33"/>
        <v/>
      </c>
      <c r="G158" s="132" t="e">
        <f t="shared" si="41"/>
        <v>#VALUE!</v>
      </c>
      <c r="H158" s="132" t="e">
        <f t="shared" si="42"/>
        <v>#VALUE!</v>
      </c>
      <c r="I158" s="9" t="str">
        <f t="shared" si="34"/>
        <v/>
      </c>
      <c r="J158" s="66"/>
      <c r="K158" s="11"/>
      <c r="L158" s="11"/>
      <c r="M158" s="6" t="str">
        <f t="shared" si="35"/>
        <v/>
      </c>
      <c r="N158" s="40" t="s">
        <v>235</v>
      </c>
      <c r="O158" s="38">
        <f t="shared" si="36"/>
        <v>0</v>
      </c>
      <c r="P158" s="38" t="e">
        <f t="shared" ca="1" si="44"/>
        <v>#NAME?</v>
      </c>
      <c r="Q158" s="38" t="e">
        <f t="shared" ca="1" si="37"/>
        <v>#NAME?</v>
      </c>
      <c r="R158" s="38" t="e">
        <f t="shared" ca="1" si="38"/>
        <v>#NAME?</v>
      </c>
      <c r="S158" s="38">
        <f t="shared" si="39"/>
        <v>0</v>
      </c>
      <c r="T158" s="38" t="e">
        <f t="shared" ca="1" si="40"/>
        <v>#NAME?</v>
      </c>
    </row>
    <row r="159" spans="1:20" ht="20.25" customHeight="1">
      <c r="A159" s="62"/>
      <c r="B159" s="6" t="str">
        <f t="shared" si="30"/>
        <v/>
      </c>
      <c r="C159" s="117" t="str">
        <f t="shared" si="31"/>
        <v/>
      </c>
      <c r="D159" s="131" t="str">
        <f t="shared" si="32"/>
        <v/>
      </c>
      <c r="E159" s="131" t="str">
        <f t="shared" si="43"/>
        <v/>
      </c>
      <c r="F159" s="138" t="str">
        <f t="shared" si="33"/>
        <v/>
      </c>
      <c r="G159" s="132" t="e">
        <f t="shared" si="41"/>
        <v>#VALUE!</v>
      </c>
      <c r="H159" s="132" t="e">
        <f t="shared" si="42"/>
        <v>#VALUE!</v>
      </c>
      <c r="I159" s="9" t="str">
        <f t="shared" si="34"/>
        <v/>
      </c>
      <c r="J159" s="66"/>
      <c r="K159" s="11"/>
      <c r="L159" s="11"/>
      <c r="M159" s="6" t="str">
        <f t="shared" si="35"/>
        <v/>
      </c>
      <c r="N159" s="40" t="s">
        <v>236</v>
      </c>
      <c r="O159" s="38">
        <f t="shared" si="36"/>
        <v>0</v>
      </c>
      <c r="P159" s="38" t="e">
        <f t="shared" ca="1" si="44"/>
        <v>#NAME?</v>
      </c>
      <c r="Q159" s="38" t="e">
        <f t="shared" ca="1" si="37"/>
        <v>#NAME?</v>
      </c>
      <c r="R159" s="38" t="e">
        <f t="shared" ca="1" si="38"/>
        <v>#NAME?</v>
      </c>
      <c r="S159" s="38">
        <f t="shared" si="39"/>
        <v>0</v>
      </c>
      <c r="T159" s="38" t="e">
        <f t="shared" ca="1" si="40"/>
        <v>#NAME?</v>
      </c>
    </row>
    <row r="160" spans="1:20" ht="20.25" customHeight="1">
      <c r="A160" s="62"/>
      <c r="B160" s="6" t="str">
        <f t="shared" si="30"/>
        <v/>
      </c>
      <c r="C160" s="117" t="str">
        <f t="shared" si="31"/>
        <v/>
      </c>
      <c r="D160" s="131" t="str">
        <f t="shared" si="32"/>
        <v/>
      </c>
      <c r="E160" s="131" t="str">
        <f t="shared" si="43"/>
        <v/>
      </c>
      <c r="F160" s="138" t="str">
        <f t="shared" si="33"/>
        <v/>
      </c>
      <c r="G160" s="132" t="e">
        <f t="shared" si="41"/>
        <v>#VALUE!</v>
      </c>
      <c r="H160" s="132" t="e">
        <f t="shared" si="42"/>
        <v>#VALUE!</v>
      </c>
      <c r="I160" s="9" t="str">
        <f t="shared" si="34"/>
        <v/>
      </c>
      <c r="J160" s="66"/>
      <c r="K160" s="11"/>
      <c r="L160" s="11"/>
      <c r="M160" s="6" t="str">
        <f t="shared" si="35"/>
        <v/>
      </c>
      <c r="N160" s="40" t="s">
        <v>237</v>
      </c>
      <c r="O160" s="38">
        <f t="shared" si="36"/>
        <v>0</v>
      </c>
      <c r="P160" s="38" t="e">
        <f t="shared" ca="1" si="44"/>
        <v>#NAME?</v>
      </c>
      <c r="Q160" s="38" t="e">
        <f t="shared" ca="1" si="37"/>
        <v>#NAME?</v>
      </c>
      <c r="R160" s="38" t="e">
        <f t="shared" ca="1" si="38"/>
        <v>#NAME?</v>
      </c>
      <c r="S160" s="38">
        <f t="shared" si="39"/>
        <v>0</v>
      </c>
      <c r="T160" s="38" t="e">
        <f t="shared" ca="1" si="40"/>
        <v>#NAME?</v>
      </c>
    </row>
    <row r="161" spans="1:20" ht="20.25" customHeight="1">
      <c r="A161" s="62"/>
      <c r="B161" s="6" t="str">
        <f t="shared" si="30"/>
        <v/>
      </c>
      <c r="C161" s="117" t="str">
        <f t="shared" si="31"/>
        <v/>
      </c>
      <c r="D161" s="131" t="str">
        <f t="shared" si="32"/>
        <v/>
      </c>
      <c r="E161" s="131" t="str">
        <f t="shared" si="43"/>
        <v/>
      </c>
      <c r="F161" s="138" t="str">
        <f t="shared" si="33"/>
        <v/>
      </c>
      <c r="G161" s="132"/>
      <c r="H161" s="132"/>
      <c r="I161" s="9" t="str">
        <f t="shared" si="34"/>
        <v/>
      </c>
      <c r="J161" s="66"/>
      <c r="K161" s="11"/>
      <c r="L161" s="11"/>
      <c r="M161" s="6" t="str">
        <f t="shared" si="35"/>
        <v/>
      </c>
      <c r="N161" s="40" t="s">
        <v>238</v>
      </c>
      <c r="O161" s="38">
        <f t="shared" si="36"/>
        <v>0</v>
      </c>
      <c r="P161" s="38" t="e">
        <f t="shared" ca="1" si="44"/>
        <v>#NAME?</v>
      </c>
      <c r="Q161" s="38" t="e">
        <f t="shared" ca="1" si="37"/>
        <v>#NAME?</v>
      </c>
      <c r="R161" s="38" t="e">
        <f t="shared" ca="1" si="38"/>
        <v>#NAME?</v>
      </c>
      <c r="S161" s="38">
        <f t="shared" si="39"/>
        <v>0</v>
      </c>
      <c r="T161" s="38" t="e">
        <f t="shared" ca="1" si="40"/>
        <v>#NAME?</v>
      </c>
    </row>
    <row r="162" spans="1:20" ht="20.25" customHeight="1">
      <c r="A162" s="62"/>
      <c r="B162" s="6" t="str">
        <f t="shared" si="30"/>
        <v/>
      </c>
      <c r="C162" s="117" t="str">
        <f t="shared" si="31"/>
        <v/>
      </c>
      <c r="D162" s="131" t="str">
        <f t="shared" si="32"/>
        <v/>
      </c>
      <c r="E162" s="131" t="str">
        <f t="shared" ref="E162" si="45">IF(B162="","",IF($C$13="krw",(TRUNC(D162-$E$9*$C$9*$C$14*YEARFRAC($O$13,$O$12,IF(C146=N150,0,IF(C146=N151,1,IF(C146=N152,2,IF(C146=N153,3,4))))),0)),(TRUNC(D162-$E$9*$C$9*YEARFRAC($O$13,$O$12,IF(C146=N150,0,IF(C146=N151,1,IF(C146=N152,2,IF(C146=N153,3,4))))),0))))</f>
        <v/>
      </c>
      <c r="F162" s="7" t="str">
        <f t="shared" si="33"/>
        <v/>
      </c>
      <c r="G162" s="132"/>
      <c r="H162" s="8" t="str">
        <f t="shared" ref="H162" si="46">IF(B162="","",ROUNDDOWN(G162*10%,-1))</f>
        <v/>
      </c>
      <c r="I162" s="9" t="str">
        <f t="shared" si="34"/>
        <v/>
      </c>
      <c r="J162" s="66"/>
      <c r="K162" s="11"/>
      <c r="L162" s="11"/>
      <c r="M162" s="10"/>
      <c r="N162" s="136"/>
      <c r="O162" s="38"/>
      <c r="P162" s="38"/>
      <c r="Q162" s="38"/>
      <c r="R162" s="38"/>
      <c r="S162" s="38"/>
      <c r="T162" s="38"/>
    </row>
    <row r="163" spans="1:20" ht="20.25" customHeight="1">
      <c r="A163" s="62"/>
      <c r="B163" s="67" t="s">
        <v>100</v>
      </c>
      <c r="C163" s="127">
        <f>SUM(C19:C162)</f>
        <v>639000</v>
      </c>
      <c r="D163" s="127">
        <f>SUM(D19:D162)</f>
        <v>3505234.5</v>
      </c>
      <c r="E163" s="127">
        <f>SUM(E19:E162)</f>
        <v>3485055.25</v>
      </c>
      <c r="F163" s="127"/>
      <c r="G163" s="127" t="e">
        <f ca="1">SUM(G19:G162)</f>
        <v>#NAME?</v>
      </c>
      <c r="H163" s="127" t="e">
        <f ca="1">SUM(H19:H162)</f>
        <v>#NAME?</v>
      </c>
      <c r="I163" s="127" t="e">
        <f ca="1">SUM(I19:I162)</f>
        <v>#NAME?</v>
      </c>
      <c r="J163" s="66"/>
      <c r="K163" s="47"/>
      <c r="L163" s="47"/>
      <c r="M163" s="45"/>
    </row>
    <row r="164" spans="1:20" s="15" customFormat="1" ht="15.75" customHeight="1">
      <c r="A164" s="87"/>
      <c r="B164" s="59"/>
      <c r="C164" s="3"/>
      <c r="D164" s="3"/>
      <c r="E164" s="3"/>
      <c r="F164" s="3"/>
      <c r="G164" s="3"/>
      <c r="H164" s="3"/>
      <c r="I164" s="3"/>
      <c r="J164" s="70"/>
      <c r="K164" s="45"/>
      <c r="L164" s="45"/>
      <c r="M164" s="45"/>
      <c r="N164" s="29"/>
      <c r="O164" s="1"/>
    </row>
    <row r="165" spans="1:20" s="15" customFormat="1" ht="20.25" customHeight="1">
      <c r="A165" s="87"/>
      <c r="B165" s="59" t="s">
        <v>103</v>
      </c>
      <c r="C165" s="3"/>
      <c r="D165" s="3"/>
      <c r="E165" s="3"/>
      <c r="F165" s="3"/>
      <c r="G165" s="3"/>
      <c r="H165" s="3"/>
      <c r="I165" s="3"/>
      <c r="J165" s="70"/>
      <c r="K165" s="45"/>
      <c r="L165" s="45"/>
      <c r="M165" s="45"/>
      <c r="N165" s="29"/>
      <c r="O165" s="1"/>
    </row>
    <row r="166" spans="1:20" s="15" customFormat="1" ht="20.25" customHeight="1">
      <c r="A166" s="87"/>
      <c r="B166" s="74" t="s">
        <v>104</v>
      </c>
      <c r="C166" s="3"/>
      <c r="D166" s="3"/>
      <c r="E166" s="3"/>
      <c r="F166" s="3"/>
      <c r="G166" s="3"/>
      <c r="H166" s="3"/>
      <c r="I166" s="3"/>
      <c r="J166" s="70"/>
      <c r="K166" s="45"/>
      <c r="L166" s="45"/>
      <c r="M166" s="48"/>
      <c r="N166" s="29"/>
      <c r="O166" s="1"/>
    </row>
    <row r="167" spans="1:20" s="17" customFormat="1" ht="20.25" customHeight="1">
      <c r="A167" s="88"/>
      <c r="B167" s="74" t="s">
        <v>111</v>
      </c>
      <c r="C167" s="16"/>
      <c r="D167" s="16"/>
      <c r="E167" s="16"/>
      <c r="F167" s="16"/>
      <c r="G167" s="16"/>
      <c r="H167" s="16"/>
      <c r="I167" s="16"/>
      <c r="J167" s="68"/>
      <c r="K167" s="58"/>
      <c r="L167" s="48"/>
      <c r="M167" s="48"/>
      <c r="N167" s="29"/>
      <c r="O167" s="30"/>
      <c r="P167" s="31"/>
      <c r="Q167" s="29"/>
    </row>
    <row r="168" spans="1:20" s="17" customFormat="1" ht="20.25" customHeight="1">
      <c r="A168" s="88"/>
      <c r="B168" s="75" t="s">
        <v>105</v>
      </c>
      <c r="C168" s="16"/>
      <c r="D168" s="16"/>
      <c r="E168" s="16"/>
      <c r="F168" s="16"/>
      <c r="G168" s="16"/>
      <c r="H168" s="16"/>
      <c r="I168" s="16"/>
      <c r="J168" s="68"/>
      <c r="K168" s="58"/>
      <c r="L168" s="48"/>
      <c r="M168" s="48"/>
      <c r="N168" s="29"/>
      <c r="O168" s="30"/>
      <c r="P168" s="31"/>
      <c r="Q168" s="29"/>
    </row>
    <row r="169" spans="1:20" s="17" customFormat="1" ht="20.25" customHeight="1">
      <c r="A169" s="88"/>
      <c r="B169" s="75" t="s">
        <v>106</v>
      </c>
      <c r="C169" s="16"/>
      <c r="D169" s="16"/>
      <c r="E169" s="16"/>
      <c r="F169" s="16"/>
      <c r="G169" s="16"/>
      <c r="H169" s="16"/>
      <c r="I169" s="16"/>
      <c r="J169" s="68"/>
      <c r="K169" s="16"/>
      <c r="L169" s="28"/>
      <c r="M169" s="49"/>
      <c r="N169" s="33"/>
      <c r="O169" s="30"/>
      <c r="P169" s="29"/>
      <c r="Q169" s="29"/>
    </row>
    <row r="170" spans="1:20" s="19" customFormat="1" ht="20.25" customHeight="1">
      <c r="A170" s="89"/>
      <c r="B170" s="76" t="s">
        <v>107</v>
      </c>
      <c r="C170" s="18"/>
      <c r="D170" s="18"/>
      <c r="E170" s="18"/>
      <c r="F170" s="18"/>
      <c r="G170" s="18"/>
      <c r="H170" s="18"/>
      <c r="I170" s="18"/>
      <c r="J170" s="69"/>
      <c r="K170" s="18"/>
      <c r="L170" s="32"/>
      <c r="M170" s="49"/>
      <c r="N170" s="33"/>
      <c r="O170" s="30"/>
      <c r="P170" s="33"/>
      <c r="Q170" s="33"/>
    </row>
    <row r="171" spans="1:20" s="19" customFormat="1" ht="20.25" customHeight="1">
      <c r="A171" s="89"/>
      <c r="B171" s="76" t="s">
        <v>108</v>
      </c>
      <c r="C171" s="18"/>
      <c r="D171" s="18"/>
      <c r="E171" s="18"/>
      <c r="F171" s="18"/>
      <c r="G171" s="18"/>
      <c r="H171" s="18"/>
      <c r="I171" s="18"/>
      <c r="J171" s="69"/>
      <c r="K171" s="18"/>
      <c r="L171" s="32"/>
      <c r="M171" s="49"/>
      <c r="N171" s="33"/>
      <c r="O171" s="30"/>
      <c r="P171" s="33"/>
      <c r="Q171" s="33"/>
    </row>
    <row r="172" spans="1:20" s="19" customFormat="1" ht="20.25" customHeight="1">
      <c r="A172" s="89"/>
      <c r="B172" s="77" t="s">
        <v>102</v>
      </c>
      <c r="C172" s="18"/>
      <c r="D172" s="20"/>
      <c r="E172" s="20"/>
      <c r="F172" s="20"/>
      <c r="G172" s="20"/>
      <c r="H172" s="20"/>
      <c r="I172" s="20"/>
      <c r="J172" s="82"/>
      <c r="K172" s="18"/>
      <c r="L172" s="32"/>
      <c r="M172" s="50"/>
      <c r="N172" s="29"/>
      <c r="O172" s="30"/>
      <c r="P172" s="33"/>
      <c r="Q172" s="33"/>
    </row>
    <row r="173" spans="1:20" ht="20.25" customHeight="1">
      <c r="A173" s="62"/>
      <c r="B173" s="76" t="s">
        <v>109</v>
      </c>
      <c r="C173" s="3"/>
      <c r="D173" s="3"/>
      <c r="E173" s="3"/>
      <c r="F173" s="3"/>
      <c r="G173" s="3"/>
      <c r="H173" s="3"/>
      <c r="I173" s="3"/>
      <c r="J173" s="70"/>
      <c r="K173" s="3"/>
    </row>
    <row r="174" spans="1:20" ht="20.25" customHeight="1">
      <c r="A174" s="62"/>
      <c r="B174" s="76" t="s">
        <v>110</v>
      </c>
      <c r="C174" s="3"/>
      <c r="D174" s="3"/>
      <c r="E174" s="3"/>
      <c r="F174" s="3"/>
      <c r="G174" s="3"/>
      <c r="H174" s="3"/>
      <c r="I174" s="3"/>
      <c r="J174" s="70"/>
      <c r="K174" s="3"/>
    </row>
    <row r="175" spans="1:20" ht="20.25" customHeight="1">
      <c r="A175" s="62"/>
      <c r="B175" s="76" t="s">
        <v>118</v>
      </c>
      <c r="C175" s="3"/>
      <c r="D175" s="3"/>
      <c r="E175" s="3"/>
      <c r="F175" s="3"/>
      <c r="G175" s="3"/>
      <c r="H175" s="3"/>
      <c r="I175" s="3"/>
      <c r="J175" s="70"/>
      <c r="K175" s="3"/>
    </row>
    <row r="176" spans="1:20" ht="15.75" customHeight="1">
      <c r="A176" s="62"/>
      <c r="B176" s="76"/>
      <c r="C176" s="3"/>
      <c r="D176" s="3"/>
      <c r="E176" s="3"/>
      <c r="F176" s="3"/>
      <c r="G176" s="3"/>
      <c r="H176" s="3"/>
      <c r="I176" s="3"/>
      <c r="J176" s="70"/>
      <c r="K176" s="3"/>
    </row>
    <row r="177" spans="1:11" ht="15.75" customHeight="1">
      <c r="A177" s="62"/>
      <c r="B177" s="76"/>
      <c r="C177" s="3"/>
      <c r="D177" s="3"/>
      <c r="E177" s="3"/>
      <c r="F177" s="3"/>
      <c r="G177" s="3"/>
      <c r="H177" s="3"/>
      <c r="I177" s="3"/>
      <c r="J177" s="70"/>
      <c r="K177" s="3"/>
    </row>
    <row r="178" spans="1:11" ht="15.75" customHeight="1">
      <c r="A178" s="62"/>
      <c r="B178" s="76"/>
      <c r="C178" s="3"/>
      <c r="D178" s="3"/>
      <c r="E178" s="3"/>
      <c r="F178" s="3"/>
      <c r="G178" s="3"/>
      <c r="H178" s="3"/>
      <c r="I178" s="3"/>
      <c r="J178" s="70"/>
      <c r="K178" s="3"/>
    </row>
    <row r="179" spans="1:11" ht="15.75" customHeight="1">
      <c r="A179" s="62"/>
      <c r="B179" s="76"/>
      <c r="C179" s="3"/>
      <c r="D179" s="3"/>
      <c r="E179" s="3"/>
      <c r="F179" s="3"/>
      <c r="G179" s="3"/>
      <c r="H179" s="3"/>
      <c r="I179" s="3"/>
      <c r="J179" s="70"/>
      <c r="K179" s="3"/>
    </row>
    <row r="180" spans="1:11" ht="15.75" customHeight="1">
      <c r="A180" s="62"/>
      <c r="B180" s="76"/>
      <c r="C180" s="3"/>
      <c r="D180" s="3"/>
      <c r="E180" s="3"/>
      <c r="F180" s="3"/>
      <c r="G180" s="3"/>
      <c r="H180" s="3"/>
      <c r="I180" s="3"/>
      <c r="J180" s="70"/>
      <c r="K180" s="3"/>
    </row>
    <row r="181" spans="1:11" ht="15.75" customHeight="1">
      <c r="A181" s="62"/>
      <c r="B181" s="76"/>
      <c r="C181" s="3"/>
      <c r="D181" s="3"/>
      <c r="E181" s="3"/>
      <c r="F181" s="3"/>
      <c r="G181" s="3"/>
      <c r="H181" s="3"/>
      <c r="I181" s="3"/>
      <c r="J181" s="70"/>
      <c r="K181" s="3"/>
    </row>
    <row r="182" spans="1:11">
      <c r="A182" s="90"/>
      <c r="B182" s="71"/>
      <c r="C182" s="71"/>
      <c r="D182" s="71"/>
      <c r="E182" s="71"/>
      <c r="F182" s="71"/>
      <c r="G182" s="71"/>
      <c r="H182" s="71"/>
      <c r="I182" s="71"/>
      <c r="J182" s="72"/>
    </row>
  </sheetData>
  <mergeCells count="4">
    <mergeCell ref="B2:I2"/>
    <mergeCell ref="B5:C5"/>
    <mergeCell ref="D5:E5"/>
    <mergeCell ref="F5:G5"/>
  </mergeCells>
  <phoneticPr fontId="2" type="noConversion"/>
  <dataValidations count="5">
    <dataValidation type="list" showInputMessage="1" showErrorMessage="1" sqref="C3">
      <formula1>$N$7:$N$11</formula1>
    </dataValidation>
    <dataValidation type="list" allowBlank="1" showInputMessage="1" showErrorMessage="1" sqref="C10">
      <formula1>$O$7:$O$9</formula1>
    </dataValidation>
    <dataValidation type="list" allowBlank="1" showInputMessage="1" showErrorMessage="1" sqref="C12:C13">
      <formula1>$P$7:$P$11</formula1>
    </dataValidation>
    <dataValidation type="list" allowBlank="1" showInputMessage="1" showErrorMessage="1" sqref="M6:M8">
      <formula1>M6:M8</formula1>
    </dataValidation>
    <dataValidation type="list" allowBlank="1" showInputMessage="1" showErrorMessage="1" sqref="E4">
      <formula1>$M$6:$M$8</formula1>
    </dataValidation>
  </dataValidations>
  <printOptions horizontalCentered="1"/>
  <pageMargins left="0.23622047244094491" right="0.23622047244094491" top="1.1811023622047245" bottom="0.74803149606299213" header="0.31496062992125984" footer="0.31496062992125984"/>
  <pageSetup paperSize="9" scale="66" fitToHeight="0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pageSetUpPr fitToPage="1"/>
  </sheetPr>
  <dimension ref="A1:T79"/>
  <sheetViews>
    <sheetView showGridLines="0" zoomScaleNormal="100" zoomScaleSheetLayoutView="90" workbookViewId="0">
      <selection activeCell="D14" sqref="D14"/>
    </sheetView>
  </sheetViews>
  <sheetFormatPr defaultColWidth="10" defaultRowHeight="13.5"/>
  <cols>
    <col min="1" max="1" width="3.125" style="1" customWidth="1"/>
    <col min="2" max="3" width="17.875" style="1" customWidth="1"/>
    <col min="4" max="4" width="16.125" style="1" customWidth="1"/>
    <col min="5" max="5" width="15.5" style="1" customWidth="1"/>
    <col min="6" max="6" width="15.625" style="1" customWidth="1"/>
    <col min="7" max="7" width="16" style="1" customWidth="1"/>
    <col min="8" max="8" width="14.875" style="1" customWidth="1"/>
    <col min="9" max="9" width="15.75" style="1" customWidth="1"/>
    <col min="10" max="10" width="3.875" style="1" customWidth="1"/>
    <col min="11" max="11" width="4.125" style="1" customWidth="1"/>
    <col min="12" max="12" width="12.125" style="1" bestFit="1" customWidth="1"/>
    <col min="13" max="13" width="12.125" style="50" customWidth="1"/>
    <col min="14" max="16" width="10.5" style="1" bestFit="1" customWidth="1"/>
    <col min="17" max="17" width="11.125" style="1" customWidth="1"/>
    <col min="18" max="18" width="10" style="1"/>
    <col min="19" max="19" width="10.5" style="1" bestFit="1" customWidth="1"/>
    <col min="20" max="258" width="10" style="1"/>
    <col min="259" max="264" width="17.875" style="1" customWidth="1"/>
    <col min="265" max="267" width="15.875" style="1" customWidth="1"/>
    <col min="268" max="514" width="10" style="1"/>
    <col min="515" max="520" width="17.875" style="1" customWidth="1"/>
    <col min="521" max="523" width="15.875" style="1" customWidth="1"/>
    <col min="524" max="770" width="10" style="1"/>
    <col min="771" max="776" width="17.875" style="1" customWidth="1"/>
    <col min="777" max="779" width="15.875" style="1" customWidth="1"/>
    <col min="780" max="1026" width="10" style="1"/>
    <col min="1027" max="1032" width="17.875" style="1" customWidth="1"/>
    <col min="1033" max="1035" width="15.875" style="1" customWidth="1"/>
    <col min="1036" max="1282" width="10" style="1"/>
    <col min="1283" max="1288" width="17.875" style="1" customWidth="1"/>
    <col min="1289" max="1291" width="15.875" style="1" customWidth="1"/>
    <col min="1292" max="1538" width="10" style="1"/>
    <col min="1539" max="1544" width="17.875" style="1" customWidth="1"/>
    <col min="1545" max="1547" width="15.875" style="1" customWidth="1"/>
    <col min="1548" max="1794" width="10" style="1"/>
    <col min="1795" max="1800" width="17.875" style="1" customWidth="1"/>
    <col min="1801" max="1803" width="15.875" style="1" customWidth="1"/>
    <col min="1804" max="2050" width="10" style="1"/>
    <col min="2051" max="2056" width="17.875" style="1" customWidth="1"/>
    <col min="2057" max="2059" width="15.875" style="1" customWidth="1"/>
    <col min="2060" max="2306" width="10" style="1"/>
    <col min="2307" max="2312" width="17.875" style="1" customWidth="1"/>
    <col min="2313" max="2315" width="15.875" style="1" customWidth="1"/>
    <col min="2316" max="2562" width="10" style="1"/>
    <col min="2563" max="2568" width="17.875" style="1" customWidth="1"/>
    <col min="2569" max="2571" width="15.875" style="1" customWidth="1"/>
    <col min="2572" max="2818" width="10" style="1"/>
    <col min="2819" max="2824" width="17.875" style="1" customWidth="1"/>
    <col min="2825" max="2827" width="15.875" style="1" customWidth="1"/>
    <col min="2828" max="3074" width="10" style="1"/>
    <col min="3075" max="3080" width="17.875" style="1" customWidth="1"/>
    <col min="3081" max="3083" width="15.875" style="1" customWidth="1"/>
    <col min="3084" max="3330" width="10" style="1"/>
    <col min="3331" max="3336" width="17.875" style="1" customWidth="1"/>
    <col min="3337" max="3339" width="15.875" style="1" customWidth="1"/>
    <col min="3340" max="3586" width="10" style="1"/>
    <col min="3587" max="3592" width="17.875" style="1" customWidth="1"/>
    <col min="3593" max="3595" width="15.875" style="1" customWidth="1"/>
    <col min="3596" max="3842" width="10" style="1"/>
    <col min="3843" max="3848" width="17.875" style="1" customWidth="1"/>
    <col min="3849" max="3851" width="15.875" style="1" customWidth="1"/>
    <col min="3852" max="4098" width="10" style="1"/>
    <col min="4099" max="4104" width="17.875" style="1" customWidth="1"/>
    <col min="4105" max="4107" width="15.875" style="1" customWidth="1"/>
    <col min="4108" max="4354" width="10" style="1"/>
    <col min="4355" max="4360" width="17.875" style="1" customWidth="1"/>
    <col min="4361" max="4363" width="15.875" style="1" customWidth="1"/>
    <col min="4364" max="4610" width="10" style="1"/>
    <col min="4611" max="4616" width="17.875" style="1" customWidth="1"/>
    <col min="4617" max="4619" width="15.875" style="1" customWidth="1"/>
    <col min="4620" max="4866" width="10" style="1"/>
    <col min="4867" max="4872" width="17.875" style="1" customWidth="1"/>
    <col min="4873" max="4875" width="15.875" style="1" customWidth="1"/>
    <col min="4876" max="5122" width="10" style="1"/>
    <col min="5123" max="5128" width="17.875" style="1" customWidth="1"/>
    <col min="5129" max="5131" width="15.875" style="1" customWidth="1"/>
    <col min="5132" max="5378" width="10" style="1"/>
    <col min="5379" max="5384" width="17.875" style="1" customWidth="1"/>
    <col min="5385" max="5387" width="15.875" style="1" customWidth="1"/>
    <col min="5388" max="5634" width="10" style="1"/>
    <col min="5635" max="5640" width="17.875" style="1" customWidth="1"/>
    <col min="5641" max="5643" width="15.875" style="1" customWidth="1"/>
    <col min="5644" max="5890" width="10" style="1"/>
    <col min="5891" max="5896" width="17.875" style="1" customWidth="1"/>
    <col min="5897" max="5899" width="15.875" style="1" customWidth="1"/>
    <col min="5900" max="6146" width="10" style="1"/>
    <col min="6147" max="6152" width="17.875" style="1" customWidth="1"/>
    <col min="6153" max="6155" width="15.875" style="1" customWidth="1"/>
    <col min="6156" max="6402" width="10" style="1"/>
    <col min="6403" max="6408" width="17.875" style="1" customWidth="1"/>
    <col min="6409" max="6411" width="15.875" style="1" customWidth="1"/>
    <col min="6412" max="6658" width="10" style="1"/>
    <col min="6659" max="6664" width="17.875" style="1" customWidth="1"/>
    <col min="6665" max="6667" width="15.875" style="1" customWidth="1"/>
    <col min="6668" max="6914" width="10" style="1"/>
    <col min="6915" max="6920" width="17.875" style="1" customWidth="1"/>
    <col min="6921" max="6923" width="15.875" style="1" customWidth="1"/>
    <col min="6924" max="7170" width="10" style="1"/>
    <col min="7171" max="7176" width="17.875" style="1" customWidth="1"/>
    <col min="7177" max="7179" width="15.875" style="1" customWidth="1"/>
    <col min="7180" max="7426" width="10" style="1"/>
    <col min="7427" max="7432" width="17.875" style="1" customWidth="1"/>
    <col min="7433" max="7435" width="15.875" style="1" customWidth="1"/>
    <col min="7436" max="7682" width="10" style="1"/>
    <col min="7683" max="7688" width="17.875" style="1" customWidth="1"/>
    <col min="7689" max="7691" width="15.875" style="1" customWidth="1"/>
    <col min="7692" max="7938" width="10" style="1"/>
    <col min="7939" max="7944" width="17.875" style="1" customWidth="1"/>
    <col min="7945" max="7947" width="15.875" style="1" customWidth="1"/>
    <col min="7948" max="8194" width="10" style="1"/>
    <col min="8195" max="8200" width="17.875" style="1" customWidth="1"/>
    <col min="8201" max="8203" width="15.875" style="1" customWidth="1"/>
    <col min="8204" max="8450" width="10" style="1"/>
    <col min="8451" max="8456" width="17.875" style="1" customWidth="1"/>
    <col min="8457" max="8459" width="15.875" style="1" customWidth="1"/>
    <col min="8460" max="8706" width="10" style="1"/>
    <col min="8707" max="8712" width="17.875" style="1" customWidth="1"/>
    <col min="8713" max="8715" width="15.875" style="1" customWidth="1"/>
    <col min="8716" max="8962" width="10" style="1"/>
    <col min="8963" max="8968" width="17.875" style="1" customWidth="1"/>
    <col min="8969" max="8971" width="15.875" style="1" customWidth="1"/>
    <col min="8972" max="9218" width="10" style="1"/>
    <col min="9219" max="9224" width="17.875" style="1" customWidth="1"/>
    <col min="9225" max="9227" width="15.875" style="1" customWidth="1"/>
    <col min="9228" max="9474" width="10" style="1"/>
    <col min="9475" max="9480" width="17.875" style="1" customWidth="1"/>
    <col min="9481" max="9483" width="15.875" style="1" customWidth="1"/>
    <col min="9484" max="9730" width="10" style="1"/>
    <col min="9731" max="9736" width="17.875" style="1" customWidth="1"/>
    <col min="9737" max="9739" width="15.875" style="1" customWidth="1"/>
    <col min="9740" max="9986" width="10" style="1"/>
    <col min="9987" max="9992" width="17.875" style="1" customWidth="1"/>
    <col min="9993" max="9995" width="15.875" style="1" customWidth="1"/>
    <col min="9996" max="10242" width="10" style="1"/>
    <col min="10243" max="10248" width="17.875" style="1" customWidth="1"/>
    <col min="10249" max="10251" width="15.875" style="1" customWidth="1"/>
    <col min="10252" max="10498" width="10" style="1"/>
    <col min="10499" max="10504" width="17.875" style="1" customWidth="1"/>
    <col min="10505" max="10507" width="15.875" style="1" customWidth="1"/>
    <col min="10508" max="10754" width="10" style="1"/>
    <col min="10755" max="10760" width="17.875" style="1" customWidth="1"/>
    <col min="10761" max="10763" width="15.875" style="1" customWidth="1"/>
    <col min="10764" max="11010" width="10" style="1"/>
    <col min="11011" max="11016" width="17.875" style="1" customWidth="1"/>
    <col min="11017" max="11019" width="15.875" style="1" customWidth="1"/>
    <col min="11020" max="11266" width="10" style="1"/>
    <col min="11267" max="11272" width="17.875" style="1" customWidth="1"/>
    <col min="11273" max="11275" width="15.875" style="1" customWidth="1"/>
    <col min="11276" max="11522" width="10" style="1"/>
    <col min="11523" max="11528" width="17.875" style="1" customWidth="1"/>
    <col min="11529" max="11531" width="15.875" style="1" customWidth="1"/>
    <col min="11532" max="11778" width="10" style="1"/>
    <col min="11779" max="11784" width="17.875" style="1" customWidth="1"/>
    <col min="11785" max="11787" width="15.875" style="1" customWidth="1"/>
    <col min="11788" max="12034" width="10" style="1"/>
    <col min="12035" max="12040" width="17.875" style="1" customWidth="1"/>
    <col min="12041" max="12043" width="15.875" style="1" customWidth="1"/>
    <col min="12044" max="12290" width="10" style="1"/>
    <col min="12291" max="12296" width="17.875" style="1" customWidth="1"/>
    <col min="12297" max="12299" width="15.875" style="1" customWidth="1"/>
    <col min="12300" max="12546" width="10" style="1"/>
    <col min="12547" max="12552" width="17.875" style="1" customWidth="1"/>
    <col min="12553" max="12555" width="15.875" style="1" customWidth="1"/>
    <col min="12556" max="12802" width="10" style="1"/>
    <col min="12803" max="12808" width="17.875" style="1" customWidth="1"/>
    <col min="12809" max="12811" width="15.875" style="1" customWidth="1"/>
    <col min="12812" max="13058" width="10" style="1"/>
    <col min="13059" max="13064" width="17.875" style="1" customWidth="1"/>
    <col min="13065" max="13067" width="15.875" style="1" customWidth="1"/>
    <col min="13068" max="13314" width="10" style="1"/>
    <col min="13315" max="13320" width="17.875" style="1" customWidth="1"/>
    <col min="13321" max="13323" width="15.875" style="1" customWidth="1"/>
    <col min="13324" max="13570" width="10" style="1"/>
    <col min="13571" max="13576" width="17.875" style="1" customWidth="1"/>
    <col min="13577" max="13579" width="15.875" style="1" customWidth="1"/>
    <col min="13580" max="13826" width="10" style="1"/>
    <col min="13827" max="13832" width="17.875" style="1" customWidth="1"/>
    <col min="13833" max="13835" width="15.875" style="1" customWidth="1"/>
    <col min="13836" max="14082" width="10" style="1"/>
    <col min="14083" max="14088" width="17.875" style="1" customWidth="1"/>
    <col min="14089" max="14091" width="15.875" style="1" customWidth="1"/>
    <col min="14092" max="14338" width="10" style="1"/>
    <col min="14339" max="14344" width="17.875" style="1" customWidth="1"/>
    <col min="14345" max="14347" width="15.875" style="1" customWidth="1"/>
    <col min="14348" max="14594" width="10" style="1"/>
    <col min="14595" max="14600" width="17.875" style="1" customWidth="1"/>
    <col min="14601" max="14603" width="15.875" style="1" customWidth="1"/>
    <col min="14604" max="14850" width="10" style="1"/>
    <col min="14851" max="14856" width="17.875" style="1" customWidth="1"/>
    <col min="14857" max="14859" width="15.875" style="1" customWidth="1"/>
    <col min="14860" max="15106" width="10" style="1"/>
    <col min="15107" max="15112" width="17.875" style="1" customWidth="1"/>
    <col min="15113" max="15115" width="15.875" style="1" customWidth="1"/>
    <col min="15116" max="15362" width="10" style="1"/>
    <col min="15363" max="15368" width="17.875" style="1" customWidth="1"/>
    <col min="15369" max="15371" width="15.875" style="1" customWidth="1"/>
    <col min="15372" max="15618" width="10" style="1"/>
    <col min="15619" max="15624" width="17.875" style="1" customWidth="1"/>
    <col min="15625" max="15627" width="15.875" style="1" customWidth="1"/>
    <col min="15628" max="15874" width="10" style="1"/>
    <col min="15875" max="15880" width="17.875" style="1" customWidth="1"/>
    <col min="15881" max="15883" width="15.875" style="1" customWidth="1"/>
    <col min="15884" max="16130" width="10" style="1"/>
    <col min="16131" max="16136" width="17.875" style="1" customWidth="1"/>
    <col min="16137" max="16139" width="15.875" style="1" customWidth="1"/>
    <col min="16140" max="16384" width="10" style="1"/>
  </cols>
  <sheetData>
    <row r="1" spans="1:19" ht="26.25" customHeight="1">
      <c r="A1" s="83"/>
      <c r="B1" s="84" t="s">
        <v>112</v>
      </c>
      <c r="C1" s="60"/>
      <c r="D1" s="60"/>
      <c r="E1" s="60"/>
      <c r="F1" s="60"/>
      <c r="G1" s="60"/>
      <c r="H1" s="60"/>
      <c r="I1" s="60"/>
      <c r="J1" s="61"/>
      <c r="K1" s="3"/>
      <c r="M1" s="118"/>
    </row>
    <row r="2" spans="1:19" ht="42.75" customHeight="1">
      <c r="A2" s="62"/>
      <c r="B2" s="149" t="str">
        <f>"("&amp;C11&amp;")"&amp;" "&amp;C15&amp;" "&amp; "시뮬레이션"</f>
        <v>(USD) KOROIL 0.875 10/05/25 시뮬레이션</v>
      </c>
      <c r="C2" s="149"/>
      <c r="D2" s="149"/>
      <c r="E2" s="149"/>
      <c r="F2" s="149"/>
      <c r="G2" s="149"/>
      <c r="H2" s="149"/>
      <c r="I2" s="149"/>
      <c r="J2" s="85"/>
      <c r="K2" s="80"/>
      <c r="M2" s="44"/>
      <c r="N2" s="42"/>
    </row>
    <row r="3" spans="1:19" ht="14.25" customHeight="1">
      <c r="A3" s="62"/>
      <c r="B3" s="78" t="s">
        <v>31</v>
      </c>
      <c r="C3" s="55" t="s">
        <v>96</v>
      </c>
      <c r="D3" s="2"/>
      <c r="E3" s="2"/>
      <c r="F3" s="2"/>
      <c r="G3" s="2"/>
      <c r="H3" s="2"/>
      <c r="I3" s="2"/>
      <c r="J3" s="63"/>
      <c r="K3" s="2"/>
      <c r="L3" s="3"/>
      <c r="M3" s="45"/>
      <c r="O3" s="25"/>
      <c r="P3" s="51"/>
      <c r="Q3" s="45"/>
    </row>
    <row r="4" spans="1:19" ht="15.75" customHeight="1">
      <c r="A4" s="62"/>
      <c r="B4" s="3"/>
      <c r="C4" s="3"/>
      <c r="D4" s="3"/>
      <c r="E4" s="37"/>
      <c r="F4" s="3"/>
      <c r="G4" s="3"/>
      <c r="H4" s="5"/>
      <c r="I4" s="3"/>
      <c r="J4" s="70"/>
      <c r="K4" s="41"/>
      <c r="L4" s="3"/>
      <c r="M4" s="45"/>
      <c r="O4" s="25"/>
      <c r="P4" s="52"/>
      <c r="Q4" s="45"/>
    </row>
    <row r="5" spans="1:19" ht="22.5" customHeight="1" thickBot="1">
      <c r="A5" s="62"/>
      <c r="B5" s="150" t="s">
        <v>24</v>
      </c>
      <c r="C5" s="150"/>
      <c r="D5" s="151" t="s">
        <v>0</v>
      </c>
      <c r="E5" s="151"/>
      <c r="F5" s="152" t="s">
        <v>1</v>
      </c>
      <c r="G5" s="153"/>
      <c r="H5" s="79"/>
      <c r="I5" s="43"/>
      <c r="J5" s="81"/>
      <c r="K5" s="43"/>
      <c r="L5" s="3"/>
      <c r="M5" s="45"/>
      <c r="O5" s="45"/>
      <c r="P5" s="45"/>
      <c r="Q5" s="45"/>
    </row>
    <row r="6" spans="1:19" ht="22.5" customHeight="1" thickBot="1">
      <c r="A6" s="62"/>
      <c r="B6" s="103" t="s">
        <v>18</v>
      </c>
      <c r="C6" s="91">
        <v>44109</v>
      </c>
      <c r="D6" s="103" t="s">
        <v>40</v>
      </c>
      <c r="E6" s="36">
        <f>ROUNDUP(E14/(1-G6),-3)</f>
        <v>388000</v>
      </c>
      <c r="F6" s="103" t="s">
        <v>42</v>
      </c>
      <c r="G6" s="111">
        <v>0.01</v>
      </c>
      <c r="H6" s="79"/>
      <c r="I6" s="97" t="str">
        <f>"고객 입금액"&amp;"("&amp;C11&amp;")"</f>
        <v>고객 입금액(USD)</v>
      </c>
      <c r="J6" s="81"/>
      <c r="K6" s="43"/>
      <c r="L6" s="3"/>
      <c r="M6" s="45"/>
      <c r="N6" s="112" t="s">
        <v>119</v>
      </c>
      <c r="O6" s="112" t="s">
        <v>120</v>
      </c>
      <c r="P6" s="112" t="s">
        <v>121</v>
      </c>
    </row>
    <row r="7" spans="1:19" ht="22.5" customHeight="1" thickBot="1">
      <c r="A7" s="62"/>
      <c r="B7" s="104" t="s">
        <v>19</v>
      </c>
      <c r="C7" s="91">
        <v>45935</v>
      </c>
      <c r="D7" s="103" t="s">
        <v>22</v>
      </c>
      <c r="E7" s="110">
        <v>45443</v>
      </c>
      <c r="F7" s="103" t="s">
        <v>45</v>
      </c>
      <c r="G7" s="100">
        <f>TRUNC(E6*G6,2)</f>
        <v>3880</v>
      </c>
      <c r="H7" s="79"/>
      <c r="I7" s="96">
        <f>E6</f>
        <v>388000</v>
      </c>
      <c r="J7" s="81"/>
      <c r="K7" s="43"/>
      <c r="L7" s="3"/>
      <c r="M7" s="45"/>
      <c r="N7" s="113" t="s">
        <v>26</v>
      </c>
      <c r="O7" s="113" t="s">
        <v>35</v>
      </c>
      <c r="P7" s="113" t="s">
        <v>114</v>
      </c>
    </row>
    <row r="8" spans="1:19" ht="22.5" customHeight="1">
      <c r="A8" s="62"/>
      <c r="B8" s="104" t="s">
        <v>25</v>
      </c>
      <c r="C8" s="91">
        <f>COUPPCD(C13,C7,IF($C$12=$O$9,1,IF($C$12=$O$8,2,4)),IF(C3=N7,0,IF(C3=N8,1,IF(C3=N9,2,IF(C3=N10,3,4)))))</f>
        <v>45387</v>
      </c>
      <c r="D8" s="103" t="s">
        <v>23</v>
      </c>
      <c r="E8" s="108">
        <v>45945</v>
      </c>
      <c r="F8" s="103" t="s">
        <v>43</v>
      </c>
      <c r="G8" s="111">
        <v>3.0000000000000001E-3</v>
      </c>
      <c r="H8" s="79"/>
      <c r="I8" s="43"/>
      <c r="J8" s="81"/>
      <c r="K8" s="43"/>
      <c r="L8" s="3"/>
      <c r="M8" s="45"/>
      <c r="N8" s="114" t="s">
        <v>27</v>
      </c>
      <c r="O8" s="114" t="s">
        <v>37</v>
      </c>
      <c r="P8" s="114" t="s">
        <v>115</v>
      </c>
    </row>
    <row r="9" spans="1:19" ht="22.5" customHeight="1">
      <c r="A9" s="62"/>
      <c r="B9" s="104" t="s">
        <v>20</v>
      </c>
      <c r="C9" s="92">
        <v>8.7500000000000008E-3</v>
      </c>
      <c r="D9" s="103" t="s">
        <v>4</v>
      </c>
      <c r="E9" s="109">
        <v>406000</v>
      </c>
      <c r="F9" s="103" t="s">
        <v>5</v>
      </c>
      <c r="G9" s="101">
        <f>+E8-E7</f>
        <v>502</v>
      </c>
      <c r="H9" s="79"/>
      <c r="I9" s="43"/>
      <c r="J9" s="81"/>
      <c r="K9" s="43"/>
      <c r="L9" s="3"/>
      <c r="M9" s="45"/>
      <c r="N9" s="114" t="s">
        <v>28</v>
      </c>
      <c r="O9" s="114" t="s">
        <v>38</v>
      </c>
      <c r="P9" s="114" t="s">
        <v>116</v>
      </c>
    </row>
    <row r="10" spans="1:19" ht="22.5" customHeight="1">
      <c r="A10" s="62"/>
      <c r="B10" s="104" t="s">
        <v>21</v>
      </c>
      <c r="C10" s="93" t="s">
        <v>98</v>
      </c>
      <c r="D10" s="103" t="s">
        <v>32</v>
      </c>
      <c r="E10" s="34">
        <f>ROUNDUP(PRICE($C$13,$C$7,$C$9,$E$12,100,IF($C$12=O9,1,IF($C$12=O8,2,4))),3)</f>
        <v>94.37</v>
      </c>
      <c r="F10" s="104" t="s">
        <v>6</v>
      </c>
      <c r="G10" s="102">
        <f>D60+C60+E15-($E$6*G8/365*G9)</f>
        <v>410034.62359208526</v>
      </c>
      <c r="H10" s="79"/>
      <c r="I10" s="43"/>
      <c r="J10" s="81"/>
      <c r="K10" s="43"/>
      <c r="L10" s="4"/>
      <c r="M10" s="46"/>
      <c r="N10" s="114" t="s">
        <v>29</v>
      </c>
      <c r="O10" s="114"/>
      <c r="P10" s="114" t="s">
        <v>117</v>
      </c>
    </row>
    <row r="11" spans="1:19" ht="22.5" customHeight="1">
      <c r="A11" s="62"/>
      <c r="B11" s="104" t="s">
        <v>39</v>
      </c>
      <c r="C11" s="93" t="s">
        <v>113</v>
      </c>
      <c r="D11" s="103" t="s">
        <v>33</v>
      </c>
      <c r="E11" s="34"/>
      <c r="F11" s="107" t="s">
        <v>95</v>
      </c>
      <c r="G11" s="102">
        <f>E6*G8/365*(E8-C7)</f>
        <v>31.890410958904106</v>
      </c>
      <c r="H11" s="79"/>
      <c r="I11" s="43"/>
      <c r="J11" s="81"/>
      <c r="K11" s="43"/>
      <c r="L11" s="4"/>
      <c r="M11" s="46"/>
      <c r="N11" s="115" t="s">
        <v>30</v>
      </c>
      <c r="O11" s="115"/>
      <c r="P11" s="115"/>
    </row>
    <row r="12" spans="1:19" ht="22.5" customHeight="1">
      <c r="A12" s="62"/>
      <c r="B12" s="103" t="s">
        <v>34</v>
      </c>
      <c r="C12" s="94" t="s">
        <v>36</v>
      </c>
      <c r="D12" s="103" t="s">
        <v>7</v>
      </c>
      <c r="E12" s="116">
        <v>5.3786300000000002E-2</v>
      </c>
      <c r="F12" s="104" t="s">
        <v>10</v>
      </c>
      <c r="G12" s="102" t="e">
        <f ca="1">+I60+C60+E15-G11</f>
        <v>#NAME?</v>
      </c>
      <c r="H12" s="79"/>
      <c r="I12" s="43"/>
      <c r="J12" s="81"/>
      <c r="K12" s="43"/>
      <c r="L12" s="4"/>
      <c r="M12" s="46"/>
    </row>
    <row r="13" spans="1:19" ht="22.5" customHeight="1">
      <c r="A13" s="62"/>
      <c r="B13" s="105" t="s">
        <v>8</v>
      </c>
      <c r="C13" s="95">
        <v>45456</v>
      </c>
      <c r="D13" s="103" t="s">
        <v>9</v>
      </c>
      <c r="E13" s="98">
        <f>$E$9*$C$9*YEARFRAC($C$8,$C$13,IF(C3=N7,0,IF(C3=N8,1,IF(C3=N9,2,IF(C3=N10,3,4)))))</f>
        <v>671.02777777777783</v>
      </c>
      <c r="F13" s="21" t="s">
        <v>12</v>
      </c>
      <c r="G13" s="22">
        <f>(G10-E6)/E6*365/G9</f>
        <v>4.1291727990671954E-2</v>
      </c>
      <c r="H13" s="79"/>
      <c r="I13" s="43"/>
      <c r="J13" s="81"/>
      <c r="K13" s="43"/>
      <c r="L13" s="4"/>
      <c r="M13" s="46"/>
      <c r="O13" s="35"/>
    </row>
    <row r="14" spans="1:19" ht="22.5" customHeight="1">
      <c r="A14" s="62"/>
      <c r="B14" s="106" t="s">
        <v>11</v>
      </c>
      <c r="C14" s="56">
        <f>C13-C8</f>
        <v>69</v>
      </c>
      <c r="D14" s="103" t="s">
        <v>41</v>
      </c>
      <c r="E14" s="99">
        <f>E9*E10/100+E13</f>
        <v>383813.22777777776</v>
      </c>
      <c r="F14" s="21" t="s">
        <v>2</v>
      </c>
      <c r="G14" s="22" t="e">
        <f ca="1">(G12-E6)/E6*365/G9</f>
        <v>#NAME?</v>
      </c>
      <c r="H14" s="3"/>
      <c r="I14" s="53"/>
      <c r="J14" s="64"/>
      <c r="K14" s="53"/>
      <c r="L14" s="3"/>
      <c r="M14" s="45"/>
    </row>
    <row r="15" spans="1:19" ht="22.5" customHeight="1">
      <c r="A15" s="62"/>
      <c r="B15" s="106" t="s">
        <v>94</v>
      </c>
      <c r="C15" s="56" t="s">
        <v>97</v>
      </c>
      <c r="D15" s="103" t="s">
        <v>44</v>
      </c>
      <c r="E15" s="98">
        <f>E6-G7-E14</f>
        <v>306.77222222223645</v>
      </c>
      <c r="F15" s="21" t="s">
        <v>3</v>
      </c>
      <c r="G15" s="22" t="e">
        <f ca="1">G14/(1-0.154)</f>
        <v>#NAME?</v>
      </c>
      <c r="H15" s="3"/>
      <c r="I15" s="57"/>
      <c r="J15" s="65"/>
      <c r="K15" s="39"/>
      <c r="L15" s="3"/>
      <c r="M15" s="45"/>
    </row>
    <row r="16" spans="1:19" ht="20.25" customHeight="1">
      <c r="A16" s="62"/>
      <c r="B16" s="73"/>
      <c r="C16" s="24"/>
      <c r="D16" s="25"/>
      <c r="E16" s="26"/>
      <c r="F16" s="25"/>
      <c r="G16" s="25"/>
      <c r="H16" s="27"/>
      <c r="I16" s="39"/>
      <c r="J16" s="65"/>
      <c r="K16" s="39"/>
      <c r="L16" s="3"/>
      <c r="M16" s="45"/>
      <c r="S16" s="54"/>
    </row>
    <row r="17" spans="1:20" ht="20.25" customHeight="1">
      <c r="A17" s="62"/>
      <c r="B17" s="3"/>
      <c r="C17" s="23"/>
      <c r="D17" s="23"/>
      <c r="E17" s="4"/>
      <c r="F17" s="3"/>
      <c r="G17" s="3"/>
      <c r="H17" s="5"/>
      <c r="I17" s="3"/>
      <c r="J17" s="70"/>
      <c r="K17" s="45"/>
      <c r="L17" s="45"/>
      <c r="M17" s="45"/>
    </row>
    <row r="18" spans="1:20" ht="20.25" customHeight="1">
      <c r="A18" s="62"/>
      <c r="B18" s="21" t="s">
        <v>101</v>
      </c>
      <c r="C18" s="21" t="s">
        <v>99</v>
      </c>
      <c r="D18" s="21" t="s">
        <v>14</v>
      </c>
      <c r="E18" s="21" t="s">
        <v>46</v>
      </c>
      <c r="F18" s="21" t="s">
        <v>47</v>
      </c>
      <c r="G18" s="21" t="s">
        <v>15</v>
      </c>
      <c r="H18" s="21" t="s">
        <v>16</v>
      </c>
      <c r="I18" s="21" t="s">
        <v>17</v>
      </c>
      <c r="J18" s="66"/>
      <c r="K18" s="25"/>
      <c r="L18" s="25"/>
      <c r="M18" s="21" t="s">
        <v>13</v>
      </c>
      <c r="O18" s="1" t="s">
        <v>48</v>
      </c>
      <c r="P18" s="1" t="s">
        <v>53</v>
      </c>
      <c r="Q18" s="1" t="s">
        <v>50</v>
      </c>
      <c r="R18" s="1" t="s">
        <v>52</v>
      </c>
      <c r="S18" s="1" t="s">
        <v>49</v>
      </c>
      <c r="T18" s="1" t="s">
        <v>51</v>
      </c>
    </row>
    <row r="19" spans="1:20" ht="20.25" customHeight="1">
      <c r="A19" s="62"/>
      <c r="B19" s="6">
        <f>COUPNCD(C13,C7,IF($C$12=O9,1,IF($C$12=O8,2,4)))</f>
        <v>45570</v>
      </c>
      <c r="C19" s="117" t="str">
        <f>IF(B19=$C$7,$E$9,"")</f>
        <v/>
      </c>
      <c r="D19" s="7">
        <f>IF(B19="","",TRUNC(($C$9*$E$9)/(IF($C$12=$O$9,1,IF($C$12=$O$8,2,4))),2))</f>
        <v>1776.25</v>
      </c>
      <c r="E19" s="7">
        <f>IF(B19="","",D19-$E$9*$C$9*YEARFRAC($C$8,$C$13,IF(C3=N7,0,IF(C3=N8,1,IF(C3=N9,2,IF(C3=N10,3,4))))))</f>
        <v>1105.2222222222222</v>
      </c>
      <c r="F19" s="7" t="e">
        <f ca="1">IF(E19&gt;R19,E19-R19,0)</f>
        <v>#NAME?</v>
      </c>
      <c r="G19" s="8" t="e">
        <f ca="1">ROUNDDOWN(F19*14%,2)</f>
        <v>#NAME?</v>
      </c>
      <c r="H19" s="8" t="e">
        <f ca="1">ROUNDDOWN(G19*10%,2)</f>
        <v>#NAME?</v>
      </c>
      <c r="I19" s="9" t="e">
        <f ca="1">IF(B19="","",D19-P19-G19-H19)</f>
        <v>#NAME?</v>
      </c>
      <c r="J19" s="86"/>
      <c r="K19" s="11"/>
      <c r="L19" s="11"/>
      <c r="M19" s="6">
        <f>E7</f>
        <v>45443</v>
      </c>
      <c r="N19" s="40" t="s">
        <v>54</v>
      </c>
      <c r="O19" s="38">
        <f>G7</f>
        <v>3880</v>
      </c>
      <c r="P19" s="38" t="e">
        <f ca="1">$E$6*$G$8/365*(_xlfn.DAYS(B19,$E$7))</f>
        <v>#NAME?</v>
      </c>
      <c r="Q19" s="38" t="e">
        <f ca="1">P19</f>
        <v>#NAME?</v>
      </c>
      <c r="R19" s="38" t="e">
        <f ca="1">+O19+Q19</f>
        <v>#NAME?</v>
      </c>
      <c r="S19" s="38">
        <f t="shared" ref="S19:S58" si="0">IF(E19&lt;O19,O19-E19,0)</f>
        <v>2774.7777777777778</v>
      </c>
      <c r="T19" s="38" t="e">
        <f t="shared" ref="T19:T58" ca="1" si="1">IF(S19&gt;0,Q19,IF(E19&gt;R19,0,Q19-(E19-O19)))</f>
        <v>#NAME?</v>
      </c>
    </row>
    <row r="20" spans="1:20" ht="20.25" customHeight="1">
      <c r="A20" s="62"/>
      <c r="B20" s="6">
        <f t="shared" ref="B20:B58" si="2">IF(B19&lt;$C$7,COUPNCD(B19,$C$7,IF($C$12=O$9,1,IF($C$12=O$8,2,4))),"")</f>
        <v>45752</v>
      </c>
      <c r="C20" s="117" t="str">
        <f>IF(B20=$C$7,$E$9,"")</f>
        <v/>
      </c>
      <c r="D20" s="7">
        <f t="shared" ref="D20:D58" si="3">IF(B20="","",TRUNC(($C$9*$E$9)/(IF($C$12=$O$9,1,IF($C$12=$O$8,2,4))),2))</f>
        <v>1776.25</v>
      </c>
      <c r="E20" s="7">
        <f>IF(B20="","",D20)</f>
        <v>1776.25</v>
      </c>
      <c r="F20" s="7" t="e">
        <f ca="1">IF(B20="","",IF(E20&gt;R20,E20-R20,0))</f>
        <v>#NAME?</v>
      </c>
      <c r="G20" s="8" t="e">
        <f ca="1">IF(B20="","",ROUNDDOWN(F20*14%,2))</f>
        <v>#NAME?</v>
      </c>
      <c r="H20" s="8" t="e">
        <f t="shared" ref="H20:H24" ca="1" si="4">IF(B20="","",ROUNDDOWN(G20*10%,2))</f>
        <v>#NAME?</v>
      </c>
      <c r="I20" s="9" t="e">
        <f t="shared" ref="I20:I24" ca="1" si="5">IF(B20="","",D20-P20-G20-H20)</f>
        <v>#NAME?</v>
      </c>
      <c r="J20" s="66"/>
      <c r="K20" s="11"/>
      <c r="L20" s="11"/>
      <c r="M20" s="6">
        <f>IF(B19&lt;$C$7,COUPNCD(M19,$C$7,IF($C$12=$O$9,1,IF($C$12=$O$8,2,4))),"")</f>
        <v>45570</v>
      </c>
      <c r="N20" s="40" t="s">
        <v>55</v>
      </c>
      <c r="O20" s="38">
        <f>S19</f>
        <v>2774.7777777777778</v>
      </c>
      <c r="P20" s="38" t="e">
        <f ca="1">$E$6*$G$8/365*(_xlfn.DAYS(B20,M20))</f>
        <v>#NAME?</v>
      </c>
      <c r="Q20" s="38" t="e">
        <f ca="1">+T19+P20</f>
        <v>#NAME?</v>
      </c>
      <c r="R20" s="38" t="e">
        <f ca="1">+O20+Q20</f>
        <v>#NAME?</v>
      </c>
      <c r="S20" s="38">
        <f t="shared" si="0"/>
        <v>998.52777777777783</v>
      </c>
      <c r="T20" s="38" t="e">
        <f t="shared" ca="1" si="1"/>
        <v>#NAME?</v>
      </c>
    </row>
    <row r="21" spans="1:20" ht="20.25" customHeight="1">
      <c r="A21" s="62"/>
      <c r="B21" s="6">
        <f t="shared" si="2"/>
        <v>45935</v>
      </c>
      <c r="C21" s="117">
        <f t="shared" ref="C21:C58" si="6">IF(B21=$C$7,$E$9,"")</f>
        <v>406000</v>
      </c>
      <c r="D21" s="7">
        <f t="shared" si="3"/>
        <v>1776.25</v>
      </c>
      <c r="E21" s="7">
        <f>IF(B21="","",D21)</f>
        <v>1776.25</v>
      </c>
      <c r="F21" s="7" t="e">
        <f t="shared" ref="F21:F58" ca="1" si="7">IF(B21="","",IF(E21&gt;R21,E21-R21,0))</f>
        <v>#NAME?</v>
      </c>
      <c r="G21" s="8" t="e">
        <f ca="1">IF(B21="","",ROUNDDOWN(F21*14%,2))</f>
        <v>#NAME?</v>
      </c>
      <c r="H21" s="8" t="e">
        <f t="shared" ca="1" si="4"/>
        <v>#NAME?</v>
      </c>
      <c r="I21" s="9" t="e">
        <f t="shared" ca="1" si="5"/>
        <v>#NAME?</v>
      </c>
      <c r="J21" s="66"/>
      <c r="K21" s="11"/>
      <c r="L21" s="11"/>
      <c r="M21" s="6">
        <f t="shared" ref="M21:M58" si="8">IF(B20&lt;$C$7,COUPNCD(M20,$C$7,IF($C$12=$O$9,1,IF($C$12=$O$8,2,4))),"")</f>
        <v>45752</v>
      </c>
      <c r="N21" s="40" t="s">
        <v>56</v>
      </c>
      <c r="O21" s="38">
        <f>S20</f>
        <v>998.52777777777783</v>
      </c>
      <c r="P21" s="38" t="e">
        <f t="shared" ref="P21:P58" ca="1" si="9">$E$6*$G$8/365*(_xlfn.DAYS(B21,M21))</f>
        <v>#NAME?</v>
      </c>
      <c r="Q21" s="38" t="e">
        <f ca="1">+T20+P21</f>
        <v>#NAME?</v>
      </c>
      <c r="R21" s="38" t="e">
        <f ca="1">+O21+Q21</f>
        <v>#NAME?</v>
      </c>
      <c r="S21" s="38">
        <f t="shared" si="0"/>
        <v>0</v>
      </c>
      <c r="T21" s="38" t="e">
        <f t="shared" ca="1" si="1"/>
        <v>#NAME?</v>
      </c>
    </row>
    <row r="22" spans="1:20" ht="20.25" customHeight="1">
      <c r="A22" s="62"/>
      <c r="B22" s="6" t="str">
        <f t="shared" si="2"/>
        <v/>
      </c>
      <c r="C22" s="117" t="str">
        <f t="shared" si="6"/>
        <v/>
      </c>
      <c r="D22" s="7" t="str">
        <f t="shared" si="3"/>
        <v/>
      </c>
      <c r="E22" s="7" t="str">
        <f t="shared" ref="E22:E58" si="10">IF(B22="","",D22)</f>
        <v/>
      </c>
      <c r="F22" s="7" t="str">
        <f t="shared" si="7"/>
        <v/>
      </c>
      <c r="G22" s="8" t="str">
        <f t="shared" ref="G22:G24" si="11">IF(B22="","",ROUNDDOWN(E22*14%,2))</f>
        <v/>
      </c>
      <c r="H22" s="8" t="str">
        <f t="shared" si="4"/>
        <v/>
      </c>
      <c r="I22" s="9" t="str">
        <f t="shared" si="5"/>
        <v/>
      </c>
      <c r="J22" s="66"/>
      <c r="K22" s="11"/>
      <c r="L22" s="11"/>
      <c r="M22" s="6" t="str">
        <f t="shared" si="8"/>
        <v/>
      </c>
      <c r="N22" s="40" t="s">
        <v>57</v>
      </c>
      <c r="O22" s="38">
        <f t="shared" ref="O22:O58" si="12">S21</f>
        <v>0</v>
      </c>
      <c r="P22" s="38" t="e">
        <f t="shared" ca="1" si="9"/>
        <v>#NAME?</v>
      </c>
      <c r="Q22" s="38" t="e">
        <f t="shared" ref="Q22:Q58" ca="1" si="13">+T21+P22</f>
        <v>#NAME?</v>
      </c>
      <c r="R22" s="38" t="e">
        <f t="shared" ref="R22:R58" ca="1" si="14">+O22+Q22</f>
        <v>#NAME?</v>
      </c>
      <c r="S22" s="38">
        <f t="shared" si="0"/>
        <v>0</v>
      </c>
      <c r="T22" s="38" t="e">
        <f t="shared" ca="1" si="1"/>
        <v>#NAME?</v>
      </c>
    </row>
    <row r="23" spans="1:20" ht="20.25" customHeight="1">
      <c r="A23" s="62"/>
      <c r="B23" s="6" t="str">
        <f t="shared" si="2"/>
        <v/>
      </c>
      <c r="C23" s="117" t="str">
        <f t="shared" si="6"/>
        <v/>
      </c>
      <c r="D23" s="7" t="str">
        <f t="shared" si="3"/>
        <v/>
      </c>
      <c r="E23" s="7" t="str">
        <f t="shared" si="10"/>
        <v/>
      </c>
      <c r="F23" s="7" t="str">
        <f t="shared" si="7"/>
        <v/>
      </c>
      <c r="G23" s="8" t="str">
        <f t="shared" si="11"/>
        <v/>
      </c>
      <c r="H23" s="8" t="str">
        <f t="shared" si="4"/>
        <v/>
      </c>
      <c r="I23" s="9" t="str">
        <f t="shared" si="5"/>
        <v/>
      </c>
      <c r="J23" s="66"/>
      <c r="K23" s="11"/>
      <c r="L23" s="11"/>
      <c r="M23" s="6" t="str">
        <f t="shared" si="8"/>
        <v/>
      </c>
      <c r="N23" s="40" t="s">
        <v>58</v>
      </c>
      <c r="O23" s="38">
        <f t="shared" si="12"/>
        <v>0</v>
      </c>
      <c r="P23" s="38" t="e">
        <f t="shared" ca="1" si="9"/>
        <v>#NAME?</v>
      </c>
      <c r="Q23" s="38" t="e">
        <f t="shared" ca="1" si="13"/>
        <v>#NAME?</v>
      </c>
      <c r="R23" s="38" t="e">
        <f t="shared" ca="1" si="14"/>
        <v>#NAME?</v>
      </c>
      <c r="S23" s="38">
        <f t="shared" si="0"/>
        <v>0</v>
      </c>
      <c r="T23" s="38" t="e">
        <f t="shared" ca="1" si="1"/>
        <v>#NAME?</v>
      </c>
    </row>
    <row r="24" spans="1:20" ht="20.25" customHeight="1">
      <c r="A24" s="62"/>
      <c r="B24" s="6" t="str">
        <f t="shared" si="2"/>
        <v/>
      </c>
      <c r="C24" s="117" t="str">
        <f t="shared" si="6"/>
        <v/>
      </c>
      <c r="D24" s="7" t="str">
        <f t="shared" si="3"/>
        <v/>
      </c>
      <c r="E24" s="7" t="str">
        <f t="shared" si="10"/>
        <v/>
      </c>
      <c r="F24" s="7" t="str">
        <f t="shared" si="7"/>
        <v/>
      </c>
      <c r="G24" s="8" t="str">
        <f t="shared" si="11"/>
        <v/>
      </c>
      <c r="H24" s="8" t="str">
        <f t="shared" si="4"/>
        <v/>
      </c>
      <c r="I24" s="9" t="str">
        <f t="shared" si="5"/>
        <v/>
      </c>
      <c r="J24" s="66"/>
      <c r="K24" s="11"/>
      <c r="L24" s="11"/>
      <c r="M24" s="6" t="str">
        <f t="shared" si="8"/>
        <v/>
      </c>
      <c r="N24" s="40" t="s">
        <v>59</v>
      </c>
      <c r="O24" s="38">
        <f t="shared" si="12"/>
        <v>0</v>
      </c>
      <c r="P24" s="38" t="e">
        <f t="shared" ca="1" si="9"/>
        <v>#NAME?</v>
      </c>
      <c r="Q24" s="38" t="e">
        <f t="shared" ca="1" si="13"/>
        <v>#NAME?</v>
      </c>
      <c r="R24" s="38" t="e">
        <f t="shared" ca="1" si="14"/>
        <v>#NAME?</v>
      </c>
      <c r="S24" s="38">
        <f t="shared" si="0"/>
        <v>0</v>
      </c>
      <c r="T24" s="38" t="e">
        <f t="shared" ca="1" si="1"/>
        <v>#NAME?</v>
      </c>
    </row>
    <row r="25" spans="1:20" ht="20.25" customHeight="1">
      <c r="A25" s="62"/>
      <c r="B25" s="6" t="str">
        <f t="shared" si="2"/>
        <v/>
      </c>
      <c r="C25" s="117" t="str">
        <f t="shared" si="6"/>
        <v/>
      </c>
      <c r="D25" s="7" t="str">
        <f t="shared" si="3"/>
        <v/>
      </c>
      <c r="E25" s="7" t="str">
        <f t="shared" si="10"/>
        <v/>
      </c>
      <c r="F25" s="7" t="str">
        <f t="shared" si="7"/>
        <v/>
      </c>
      <c r="G25" s="8" t="str">
        <f t="shared" ref="G25:G58" si="15">IF(B25="","",ROUNDDOWN(E25*14%,2))</f>
        <v/>
      </c>
      <c r="H25" s="8" t="str">
        <f t="shared" ref="H25:H58" si="16">IF(B25="","",ROUNDDOWN(G25*10%,2))</f>
        <v/>
      </c>
      <c r="I25" s="9" t="str">
        <f t="shared" ref="I25:I58" si="17">IF(B25="","",D25-P25-G25-H25)</f>
        <v/>
      </c>
      <c r="J25" s="66"/>
      <c r="K25" s="11"/>
      <c r="L25" s="11"/>
      <c r="M25" s="6" t="str">
        <f t="shared" si="8"/>
        <v/>
      </c>
      <c r="N25" s="40" t="s">
        <v>60</v>
      </c>
      <c r="O25" s="38">
        <f t="shared" si="12"/>
        <v>0</v>
      </c>
      <c r="P25" s="38" t="e">
        <f t="shared" ca="1" si="9"/>
        <v>#NAME?</v>
      </c>
      <c r="Q25" s="38" t="e">
        <f t="shared" ca="1" si="13"/>
        <v>#NAME?</v>
      </c>
      <c r="R25" s="38" t="e">
        <f t="shared" ca="1" si="14"/>
        <v>#NAME?</v>
      </c>
      <c r="S25" s="38">
        <f t="shared" si="0"/>
        <v>0</v>
      </c>
      <c r="T25" s="38" t="e">
        <f t="shared" ca="1" si="1"/>
        <v>#NAME?</v>
      </c>
    </row>
    <row r="26" spans="1:20" ht="20.25" hidden="1" customHeight="1">
      <c r="A26" s="62"/>
      <c r="B26" s="6" t="str">
        <f t="shared" si="2"/>
        <v/>
      </c>
      <c r="C26" s="117" t="str">
        <f t="shared" si="6"/>
        <v/>
      </c>
      <c r="D26" s="7" t="str">
        <f t="shared" si="3"/>
        <v/>
      </c>
      <c r="E26" s="7" t="str">
        <f t="shared" si="10"/>
        <v/>
      </c>
      <c r="F26" s="7" t="str">
        <f t="shared" si="7"/>
        <v/>
      </c>
      <c r="G26" s="8" t="str">
        <f t="shared" si="15"/>
        <v/>
      </c>
      <c r="H26" s="8" t="str">
        <f t="shared" si="16"/>
        <v/>
      </c>
      <c r="I26" s="9" t="str">
        <f t="shared" si="17"/>
        <v/>
      </c>
      <c r="J26" s="66"/>
      <c r="K26" s="11"/>
      <c r="L26" s="11"/>
      <c r="M26" s="6" t="str">
        <f t="shared" si="8"/>
        <v/>
      </c>
      <c r="N26" s="40" t="s">
        <v>61</v>
      </c>
      <c r="O26" s="38">
        <f t="shared" si="12"/>
        <v>0</v>
      </c>
      <c r="P26" s="38" t="e">
        <f t="shared" ca="1" si="9"/>
        <v>#NAME?</v>
      </c>
      <c r="Q26" s="38" t="e">
        <f t="shared" ca="1" si="13"/>
        <v>#NAME?</v>
      </c>
      <c r="R26" s="38" t="e">
        <f t="shared" ca="1" si="14"/>
        <v>#NAME?</v>
      </c>
      <c r="S26" s="38">
        <f t="shared" si="0"/>
        <v>0</v>
      </c>
      <c r="T26" s="38" t="e">
        <f t="shared" ca="1" si="1"/>
        <v>#NAME?</v>
      </c>
    </row>
    <row r="27" spans="1:20" ht="20.25" hidden="1" customHeight="1">
      <c r="A27" s="62"/>
      <c r="B27" s="6" t="str">
        <f t="shared" si="2"/>
        <v/>
      </c>
      <c r="C27" s="117" t="str">
        <f t="shared" si="6"/>
        <v/>
      </c>
      <c r="D27" s="7" t="str">
        <f t="shared" si="3"/>
        <v/>
      </c>
      <c r="E27" s="7" t="str">
        <f t="shared" si="10"/>
        <v/>
      </c>
      <c r="F27" s="7" t="str">
        <f t="shared" si="7"/>
        <v/>
      </c>
      <c r="G27" s="8" t="str">
        <f t="shared" si="15"/>
        <v/>
      </c>
      <c r="H27" s="8" t="str">
        <f t="shared" si="16"/>
        <v/>
      </c>
      <c r="I27" s="9" t="str">
        <f t="shared" si="17"/>
        <v/>
      </c>
      <c r="J27" s="66"/>
      <c r="K27" s="11"/>
      <c r="L27" s="11"/>
      <c r="M27" s="6" t="str">
        <f t="shared" si="8"/>
        <v/>
      </c>
      <c r="N27" s="40" t="s">
        <v>62</v>
      </c>
      <c r="O27" s="38">
        <f t="shared" si="12"/>
        <v>0</v>
      </c>
      <c r="P27" s="38" t="e">
        <f t="shared" ca="1" si="9"/>
        <v>#NAME?</v>
      </c>
      <c r="Q27" s="38" t="e">
        <f t="shared" ca="1" si="13"/>
        <v>#NAME?</v>
      </c>
      <c r="R27" s="38" t="e">
        <f t="shared" ca="1" si="14"/>
        <v>#NAME?</v>
      </c>
      <c r="S27" s="38">
        <f t="shared" si="0"/>
        <v>0</v>
      </c>
      <c r="T27" s="38" t="e">
        <f t="shared" ca="1" si="1"/>
        <v>#NAME?</v>
      </c>
    </row>
    <row r="28" spans="1:20" ht="20.25" hidden="1" customHeight="1">
      <c r="A28" s="62"/>
      <c r="B28" s="6" t="str">
        <f t="shared" si="2"/>
        <v/>
      </c>
      <c r="C28" s="117" t="str">
        <f t="shared" si="6"/>
        <v/>
      </c>
      <c r="D28" s="7" t="str">
        <f t="shared" si="3"/>
        <v/>
      </c>
      <c r="E28" s="7" t="str">
        <f t="shared" si="10"/>
        <v/>
      </c>
      <c r="F28" s="7" t="str">
        <f t="shared" si="7"/>
        <v/>
      </c>
      <c r="G28" s="8" t="str">
        <f t="shared" si="15"/>
        <v/>
      </c>
      <c r="H28" s="8" t="str">
        <f t="shared" si="16"/>
        <v/>
      </c>
      <c r="I28" s="9" t="str">
        <f t="shared" si="17"/>
        <v/>
      </c>
      <c r="J28" s="66"/>
      <c r="K28" s="11"/>
      <c r="L28" s="11"/>
      <c r="M28" s="6" t="str">
        <f t="shared" si="8"/>
        <v/>
      </c>
      <c r="N28" s="40" t="s">
        <v>63</v>
      </c>
      <c r="O28" s="38">
        <f t="shared" si="12"/>
        <v>0</v>
      </c>
      <c r="P28" s="38" t="e">
        <f t="shared" ca="1" si="9"/>
        <v>#NAME?</v>
      </c>
      <c r="Q28" s="38" t="e">
        <f t="shared" ca="1" si="13"/>
        <v>#NAME?</v>
      </c>
      <c r="R28" s="38" t="e">
        <f t="shared" ca="1" si="14"/>
        <v>#NAME?</v>
      </c>
      <c r="S28" s="38">
        <f t="shared" si="0"/>
        <v>0</v>
      </c>
      <c r="T28" s="38" t="e">
        <f t="shared" ca="1" si="1"/>
        <v>#NAME?</v>
      </c>
    </row>
    <row r="29" spans="1:20" ht="20.25" hidden="1" customHeight="1">
      <c r="A29" s="62"/>
      <c r="B29" s="6" t="str">
        <f t="shared" si="2"/>
        <v/>
      </c>
      <c r="C29" s="117" t="str">
        <f t="shared" si="6"/>
        <v/>
      </c>
      <c r="D29" s="7" t="str">
        <f t="shared" si="3"/>
        <v/>
      </c>
      <c r="E29" s="7" t="str">
        <f t="shared" si="10"/>
        <v/>
      </c>
      <c r="F29" s="7" t="str">
        <f t="shared" si="7"/>
        <v/>
      </c>
      <c r="G29" s="8" t="str">
        <f t="shared" si="15"/>
        <v/>
      </c>
      <c r="H29" s="8" t="str">
        <f t="shared" si="16"/>
        <v/>
      </c>
      <c r="I29" s="9" t="str">
        <f t="shared" si="17"/>
        <v/>
      </c>
      <c r="J29" s="66"/>
      <c r="K29" s="11"/>
      <c r="L29" s="11"/>
      <c r="M29" s="6" t="str">
        <f t="shared" si="8"/>
        <v/>
      </c>
      <c r="N29" s="40" t="s">
        <v>64</v>
      </c>
      <c r="O29" s="38">
        <f t="shared" si="12"/>
        <v>0</v>
      </c>
      <c r="P29" s="38" t="e">
        <f t="shared" ca="1" si="9"/>
        <v>#NAME?</v>
      </c>
      <c r="Q29" s="38" t="e">
        <f t="shared" ca="1" si="13"/>
        <v>#NAME?</v>
      </c>
      <c r="R29" s="38" t="e">
        <f t="shared" ca="1" si="14"/>
        <v>#NAME?</v>
      </c>
      <c r="S29" s="38">
        <f t="shared" si="0"/>
        <v>0</v>
      </c>
      <c r="T29" s="38" t="e">
        <f t="shared" ca="1" si="1"/>
        <v>#NAME?</v>
      </c>
    </row>
    <row r="30" spans="1:20" ht="20.25" hidden="1" customHeight="1">
      <c r="A30" s="62"/>
      <c r="B30" s="6" t="str">
        <f t="shared" si="2"/>
        <v/>
      </c>
      <c r="C30" s="117" t="str">
        <f t="shared" si="6"/>
        <v/>
      </c>
      <c r="D30" s="7" t="str">
        <f t="shared" si="3"/>
        <v/>
      </c>
      <c r="E30" s="7" t="str">
        <f t="shared" si="10"/>
        <v/>
      </c>
      <c r="F30" s="7" t="str">
        <f t="shared" si="7"/>
        <v/>
      </c>
      <c r="G30" s="8" t="str">
        <f t="shared" si="15"/>
        <v/>
      </c>
      <c r="H30" s="8" t="str">
        <f t="shared" si="16"/>
        <v/>
      </c>
      <c r="I30" s="9" t="str">
        <f t="shared" si="17"/>
        <v/>
      </c>
      <c r="J30" s="66"/>
      <c r="K30" s="11"/>
      <c r="L30" s="11"/>
      <c r="M30" s="6" t="str">
        <f t="shared" si="8"/>
        <v/>
      </c>
      <c r="N30" s="40" t="s">
        <v>65</v>
      </c>
      <c r="O30" s="38">
        <f t="shared" si="12"/>
        <v>0</v>
      </c>
      <c r="P30" s="38" t="e">
        <f t="shared" ca="1" si="9"/>
        <v>#NAME?</v>
      </c>
      <c r="Q30" s="38" t="e">
        <f t="shared" ca="1" si="13"/>
        <v>#NAME?</v>
      </c>
      <c r="R30" s="38" t="e">
        <f t="shared" ca="1" si="14"/>
        <v>#NAME?</v>
      </c>
      <c r="S30" s="38">
        <f t="shared" si="0"/>
        <v>0</v>
      </c>
      <c r="T30" s="38" t="e">
        <f t="shared" ca="1" si="1"/>
        <v>#NAME?</v>
      </c>
    </row>
    <row r="31" spans="1:20" ht="20.25" hidden="1" customHeight="1">
      <c r="A31" s="62"/>
      <c r="B31" s="6" t="str">
        <f t="shared" si="2"/>
        <v/>
      </c>
      <c r="C31" s="117" t="str">
        <f t="shared" si="6"/>
        <v/>
      </c>
      <c r="D31" s="7" t="str">
        <f t="shared" si="3"/>
        <v/>
      </c>
      <c r="E31" s="7" t="str">
        <f t="shared" si="10"/>
        <v/>
      </c>
      <c r="F31" s="7" t="str">
        <f t="shared" si="7"/>
        <v/>
      </c>
      <c r="G31" s="8" t="str">
        <f t="shared" si="15"/>
        <v/>
      </c>
      <c r="H31" s="8" t="str">
        <f t="shared" si="16"/>
        <v/>
      </c>
      <c r="I31" s="9" t="str">
        <f t="shared" si="17"/>
        <v/>
      </c>
      <c r="J31" s="66"/>
      <c r="K31" s="11"/>
      <c r="L31" s="11"/>
      <c r="M31" s="6" t="str">
        <f t="shared" si="8"/>
        <v/>
      </c>
      <c r="N31" s="40" t="s">
        <v>66</v>
      </c>
      <c r="O31" s="38">
        <f t="shared" si="12"/>
        <v>0</v>
      </c>
      <c r="P31" s="38" t="e">
        <f t="shared" ca="1" si="9"/>
        <v>#NAME?</v>
      </c>
      <c r="Q31" s="38" t="e">
        <f t="shared" ca="1" si="13"/>
        <v>#NAME?</v>
      </c>
      <c r="R31" s="38" t="e">
        <f t="shared" ca="1" si="14"/>
        <v>#NAME?</v>
      </c>
      <c r="S31" s="38">
        <f t="shared" si="0"/>
        <v>0</v>
      </c>
      <c r="T31" s="38" t="e">
        <f t="shared" ca="1" si="1"/>
        <v>#NAME?</v>
      </c>
    </row>
    <row r="32" spans="1:20" ht="20.25" hidden="1" customHeight="1">
      <c r="A32" s="62"/>
      <c r="B32" s="6" t="str">
        <f t="shared" si="2"/>
        <v/>
      </c>
      <c r="C32" s="117" t="str">
        <f t="shared" si="6"/>
        <v/>
      </c>
      <c r="D32" s="7" t="str">
        <f t="shared" si="3"/>
        <v/>
      </c>
      <c r="E32" s="7" t="str">
        <f t="shared" si="10"/>
        <v/>
      </c>
      <c r="F32" s="7" t="str">
        <f t="shared" si="7"/>
        <v/>
      </c>
      <c r="G32" s="8" t="str">
        <f t="shared" si="15"/>
        <v/>
      </c>
      <c r="H32" s="8" t="str">
        <f t="shared" si="16"/>
        <v/>
      </c>
      <c r="I32" s="9" t="str">
        <f t="shared" si="17"/>
        <v/>
      </c>
      <c r="J32" s="66"/>
      <c r="K32" s="11"/>
      <c r="L32" s="11"/>
      <c r="M32" s="6" t="str">
        <f t="shared" si="8"/>
        <v/>
      </c>
      <c r="N32" s="40" t="s">
        <v>67</v>
      </c>
      <c r="O32" s="38">
        <f t="shared" si="12"/>
        <v>0</v>
      </c>
      <c r="P32" s="38" t="e">
        <f t="shared" ca="1" si="9"/>
        <v>#NAME?</v>
      </c>
      <c r="Q32" s="38" t="e">
        <f t="shared" ca="1" si="13"/>
        <v>#NAME?</v>
      </c>
      <c r="R32" s="38" t="e">
        <f t="shared" ca="1" si="14"/>
        <v>#NAME?</v>
      </c>
      <c r="S32" s="38">
        <f t="shared" si="0"/>
        <v>0</v>
      </c>
      <c r="T32" s="38" t="e">
        <f t="shared" ca="1" si="1"/>
        <v>#NAME?</v>
      </c>
    </row>
    <row r="33" spans="1:20" ht="20.25" hidden="1" customHeight="1">
      <c r="A33" s="62"/>
      <c r="B33" s="6" t="str">
        <f t="shared" si="2"/>
        <v/>
      </c>
      <c r="C33" s="117" t="str">
        <f t="shared" si="6"/>
        <v/>
      </c>
      <c r="D33" s="7" t="str">
        <f t="shared" si="3"/>
        <v/>
      </c>
      <c r="E33" s="7" t="str">
        <f t="shared" si="10"/>
        <v/>
      </c>
      <c r="F33" s="7" t="str">
        <f t="shared" si="7"/>
        <v/>
      </c>
      <c r="G33" s="8" t="str">
        <f t="shared" si="15"/>
        <v/>
      </c>
      <c r="H33" s="8" t="str">
        <f t="shared" si="16"/>
        <v/>
      </c>
      <c r="I33" s="9" t="str">
        <f t="shared" si="17"/>
        <v/>
      </c>
      <c r="J33" s="66"/>
      <c r="K33" s="11"/>
      <c r="L33" s="11"/>
      <c r="M33" s="6" t="str">
        <f t="shared" si="8"/>
        <v/>
      </c>
      <c r="N33" s="40" t="s">
        <v>68</v>
      </c>
      <c r="O33" s="38">
        <f t="shared" si="12"/>
        <v>0</v>
      </c>
      <c r="P33" s="38" t="e">
        <f t="shared" ca="1" si="9"/>
        <v>#NAME?</v>
      </c>
      <c r="Q33" s="38" t="e">
        <f t="shared" ca="1" si="13"/>
        <v>#NAME?</v>
      </c>
      <c r="R33" s="38" t="e">
        <f t="shared" ca="1" si="14"/>
        <v>#NAME?</v>
      </c>
      <c r="S33" s="38">
        <f t="shared" si="0"/>
        <v>0</v>
      </c>
      <c r="T33" s="38" t="e">
        <f t="shared" ca="1" si="1"/>
        <v>#NAME?</v>
      </c>
    </row>
    <row r="34" spans="1:20" ht="20.25" hidden="1" customHeight="1">
      <c r="A34" s="62"/>
      <c r="B34" s="6" t="str">
        <f t="shared" si="2"/>
        <v/>
      </c>
      <c r="C34" s="117" t="str">
        <f t="shared" si="6"/>
        <v/>
      </c>
      <c r="D34" s="7" t="str">
        <f t="shared" si="3"/>
        <v/>
      </c>
      <c r="E34" s="7" t="str">
        <f t="shared" si="10"/>
        <v/>
      </c>
      <c r="F34" s="7" t="str">
        <f t="shared" si="7"/>
        <v/>
      </c>
      <c r="G34" s="8" t="str">
        <f t="shared" si="15"/>
        <v/>
      </c>
      <c r="H34" s="8" t="str">
        <f t="shared" si="16"/>
        <v/>
      </c>
      <c r="I34" s="9" t="str">
        <f t="shared" si="17"/>
        <v/>
      </c>
      <c r="J34" s="66"/>
      <c r="K34" s="11"/>
      <c r="L34" s="11"/>
      <c r="M34" s="6" t="str">
        <f t="shared" si="8"/>
        <v/>
      </c>
      <c r="N34" s="40" t="s">
        <v>69</v>
      </c>
      <c r="O34" s="38">
        <f t="shared" si="12"/>
        <v>0</v>
      </c>
      <c r="P34" s="38" t="e">
        <f t="shared" ca="1" si="9"/>
        <v>#NAME?</v>
      </c>
      <c r="Q34" s="38" t="e">
        <f t="shared" ca="1" si="13"/>
        <v>#NAME?</v>
      </c>
      <c r="R34" s="38" t="e">
        <f t="shared" ca="1" si="14"/>
        <v>#NAME?</v>
      </c>
      <c r="S34" s="38">
        <f t="shared" si="0"/>
        <v>0</v>
      </c>
      <c r="T34" s="38" t="e">
        <f t="shared" ca="1" si="1"/>
        <v>#NAME?</v>
      </c>
    </row>
    <row r="35" spans="1:20" ht="20.25" hidden="1" customHeight="1">
      <c r="A35" s="62"/>
      <c r="B35" s="6" t="str">
        <f t="shared" si="2"/>
        <v/>
      </c>
      <c r="C35" s="117" t="str">
        <f t="shared" si="6"/>
        <v/>
      </c>
      <c r="D35" s="7" t="str">
        <f t="shared" si="3"/>
        <v/>
      </c>
      <c r="E35" s="7" t="str">
        <f t="shared" si="10"/>
        <v/>
      </c>
      <c r="F35" s="7" t="str">
        <f t="shared" si="7"/>
        <v/>
      </c>
      <c r="G35" s="8" t="str">
        <f t="shared" si="15"/>
        <v/>
      </c>
      <c r="H35" s="8" t="str">
        <f t="shared" si="16"/>
        <v/>
      </c>
      <c r="I35" s="9" t="str">
        <f t="shared" si="17"/>
        <v/>
      </c>
      <c r="J35" s="66"/>
      <c r="K35" s="11"/>
      <c r="L35" s="11"/>
      <c r="M35" s="6" t="str">
        <f t="shared" si="8"/>
        <v/>
      </c>
      <c r="N35" s="40" t="s">
        <v>70</v>
      </c>
      <c r="O35" s="38">
        <f t="shared" si="12"/>
        <v>0</v>
      </c>
      <c r="P35" s="38" t="e">
        <f t="shared" ca="1" si="9"/>
        <v>#NAME?</v>
      </c>
      <c r="Q35" s="38" t="e">
        <f t="shared" ca="1" si="13"/>
        <v>#NAME?</v>
      </c>
      <c r="R35" s="38" t="e">
        <f t="shared" ca="1" si="14"/>
        <v>#NAME?</v>
      </c>
      <c r="S35" s="38">
        <f t="shared" si="0"/>
        <v>0</v>
      </c>
      <c r="T35" s="38" t="e">
        <f t="shared" ca="1" si="1"/>
        <v>#NAME?</v>
      </c>
    </row>
    <row r="36" spans="1:20" ht="20.25" hidden="1" customHeight="1">
      <c r="A36" s="62"/>
      <c r="B36" s="6" t="str">
        <f t="shared" si="2"/>
        <v/>
      </c>
      <c r="C36" s="117" t="str">
        <f t="shared" si="6"/>
        <v/>
      </c>
      <c r="D36" s="7" t="str">
        <f t="shared" si="3"/>
        <v/>
      </c>
      <c r="E36" s="7" t="str">
        <f t="shared" si="10"/>
        <v/>
      </c>
      <c r="F36" s="7" t="str">
        <f t="shared" si="7"/>
        <v/>
      </c>
      <c r="G36" s="8" t="str">
        <f t="shared" si="15"/>
        <v/>
      </c>
      <c r="H36" s="8" t="str">
        <f t="shared" si="16"/>
        <v/>
      </c>
      <c r="I36" s="9" t="str">
        <f t="shared" si="17"/>
        <v/>
      </c>
      <c r="J36" s="66"/>
      <c r="K36" s="11"/>
      <c r="L36" s="11"/>
      <c r="M36" s="6" t="str">
        <f t="shared" si="8"/>
        <v/>
      </c>
      <c r="N36" s="40" t="s">
        <v>71</v>
      </c>
      <c r="O36" s="38">
        <f t="shared" si="12"/>
        <v>0</v>
      </c>
      <c r="P36" s="38" t="e">
        <f t="shared" ca="1" si="9"/>
        <v>#NAME?</v>
      </c>
      <c r="Q36" s="38" t="e">
        <f t="shared" ca="1" si="13"/>
        <v>#NAME?</v>
      </c>
      <c r="R36" s="38" t="e">
        <f t="shared" ca="1" si="14"/>
        <v>#NAME?</v>
      </c>
      <c r="S36" s="38">
        <f t="shared" si="0"/>
        <v>0</v>
      </c>
      <c r="T36" s="38" t="e">
        <f t="shared" ca="1" si="1"/>
        <v>#NAME?</v>
      </c>
    </row>
    <row r="37" spans="1:20" ht="20.25" hidden="1" customHeight="1">
      <c r="A37" s="62"/>
      <c r="B37" s="6" t="str">
        <f t="shared" si="2"/>
        <v/>
      </c>
      <c r="C37" s="117" t="str">
        <f t="shared" si="6"/>
        <v/>
      </c>
      <c r="D37" s="7" t="str">
        <f t="shared" si="3"/>
        <v/>
      </c>
      <c r="E37" s="7" t="str">
        <f t="shared" si="10"/>
        <v/>
      </c>
      <c r="F37" s="7" t="str">
        <f t="shared" si="7"/>
        <v/>
      </c>
      <c r="G37" s="8" t="str">
        <f t="shared" si="15"/>
        <v/>
      </c>
      <c r="H37" s="8" t="str">
        <f t="shared" si="16"/>
        <v/>
      </c>
      <c r="I37" s="9" t="str">
        <f t="shared" si="17"/>
        <v/>
      </c>
      <c r="J37" s="66"/>
      <c r="K37" s="11"/>
      <c r="L37" s="11"/>
      <c r="M37" s="6" t="str">
        <f t="shared" si="8"/>
        <v/>
      </c>
      <c r="N37" s="40" t="s">
        <v>72</v>
      </c>
      <c r="O37" s="38">
        <f t="shared" si="12"/>
        <v>0</v>
      </c>
      <c r="P37" s="38" t="e">
        <f t="shared" ca="1" si="9"/>
        <v>#NAME?</v>
      </c>
      <c r="Q37" s="38" t="e">
        <f t="shared" ca="1" si="13"/>
        <v>#NAME?</v>
      </c>
      <c r="R37" s="38" t="e">
        <f t="shared" ca="1" si="14"/>
        <v>#NAME?</v>
      </c>
      <c r="S37" s="38">
        <f t="shared" si="0"/>
        <v>0</v>
      </c>
      <c r="T37" s="38" t="e">
        <f t="shared" ca="1" si="1"/>
        <v>#NAME?</v>
      </c>
    </row>
    <row r="38" spans="1:20" ht="20.25" hidden="1" customHeight="1">
      <c r="A38" s="62"/>
      <c r="B38" s="6" t="str">
        <f t="shared" si="2"/>
        <v/>
      </c>
      <c r="C38" s="117" t="str">
        <f t="shared" si="6"/>
        <v/>
      </c>
      <c r="D38" s="7" t="str">
        <f t="shared" si="3"/>
        <v/>
      </c>
      <c r="E38" s="7" t="str">
        <f t="shared" si="10"/>
        <v/>
      </c>
      <c r="F38" s="7" t="str">
        <f t="shared" si="7"/>
        <v/>
      </c>
      <c r="G38" s="8" t="str">
        <f t="shared" si="15"/>
        <v/>
      </c>
      <c r="H38" s="8" t="str">
        <f t="shared" si="16"/>
        <v/>
      </c>
      <c r="I38" s="9" t="str">
        <f t="shared" si="17"/>
        <v/>
      </c>
      <c r="J38" s="66"/>
      <c r="K38" s="11"/>
      <c r="L38" s="11"/>
      <c r="M38" s="6" t="str">
        <f t="shared" si="8"/>
        <v/>
      </c>
      <c r="N38" s="40" t="s">
        <v>73</v>
      </c>
      <c r="O38" s="38">
        <f t="shared" si="12"/>
        <v>0</v>
      </c>
      <c r="P38" s="38" t="e">
        <f t="shared" ca="1" si="9"/>
        <v>#NAME?</v>
      </c>
      <c r="Q38" s="38" t="e">
        <f t="shared" ca="1" si="13"/>
        <v>#NAME?</v>
      </c>
      <c r="R38" s="38" t="e">
        <f t="shared" ca="1" si="14"/>
        <v>#NAME?</v>
      </c>
      <c r="S38" s="38">
        <f t="shared" si="0"/>
        <v>0</v>
      </c>
      <c r="T38" s="38" t="e">
        <f t="shared" ca="1" si="1"/>
        <v>#NAME?</v>
      </c>
    </row>
    <row r="39" spans="1:20" ht="20.25" hidden="1" customHeight="1">
      <c r="A39" s="62"/>
      <c r="B39" s="6" t="str">
        <f t="shared" si="2"/>
        <v/>
      </c>
      <c r="C39" s="117" t="str">
        <f t="shared" si="6"/>
        <v/>
      </c>
      <c r="D39" s="7" t="str">
        <f t="shared" si="3"/>
        <v/>
      </c>
      <c r="E39" s="7" t="str">
        <f t="shared" si="10"/>
        <v/>
      </c>
      <c r="F39" s="7" t="str">
        <f t="shared" si="7"/>
        <v/>
      </c>
      <c r="G39" s="8" t="str">
        <f t="shared" si="15"/>
        <v/>
      </c>
      <c r="H39" s="8" t="str">
        <f t="shared" si="16"/>
        <v/>
      </c>
      <c r="I39" s="9" t="str">
        <f t="shared" si="17"/>
        <v/>
      </c>
      <c r="J39" s="66"/>
      <c r="K39" s="11"/>
      <c r="L39" s="11"/>
      <c r="M39" s="6" t="str">
        <f t="shared" si="8"/>
        <v/>
      </c>
      <c r="N39" s="40" t="s">
        <v>74</v>
      </c>
      <c r="O39" s="38">
        <f t="shared" si="12"/>
        <v>0</v>
      </c>
      <c r="P39" s="38" t="e">
        <f t="shared" ca="1" si="9"/>
        <v>#NAME?</v>
      </c>
      <c r="Q39" s="38" t="e">
        <f t="shared" ca="1" si="13"/>
        <v>#NAME?</v>
      </c>
      <c r="R39" s="38" t="e">
        <f t="shared" ca="1" si="14"/>
        <v>#NAME?</v>
      </c>
      <c r="S39" s="38">
        <f t="shared" si="0"/>
        <v>0</v>
      </c>
      <c r="T39" s="38" t="e">
        <f t="shared" ca="1" si="1"/>
        <v>#NAME?</v>
      </c>
    </row>
    <row r="40" spans="1:20" ht="20.25" hidden="1" customHeight="1">
      <c r="A40" s="62"/>
      <c r="B40" s="6" t="str">
        <f t="shared" si="2"/>
        <v/>
      </c>
      <c r="C40" s="117" t="str">
        <f t="shared" si="6"/>
        <v/>
      </c>
      <c r="D40" s="7" t="str">
        <f t="shared" si="3"/>
        <v/>
      </c>
      <c r="E40" s="7" t="str">
        <f t="shared" si="10"/>
        <v/>
      </c>
      <c r="F40" s="7" t="str">
        <f t="shared" si="7"/>
        <v/>
      </c>
      <c r="G40" s="8" t="str">
        <f t="shared" si="15"/>
        <v/>
      </c>
      <c r="H40" s="8" t="str">
        <f t="shared" si="16"/>
        <v/>
      </c>
      <c r="I40" s="9" t="str">
        <f t="shared" si="17"/>
        <v/>
      </c>
      <c r="J40" s="66"/>
      <c r="K40" s="11"/>
      <c r="L40" s="11"/>
      <c r="M40" s="6" t="str">
        <f t="shared" si="8"/>
        <v/>
      </c>
      <c r="N40" s="40" t="s">
        <v>75</v>
      </c>
      <c r="O40" s="38">
        <f t="shared" si="12"/>
        <v>0</v>
      </c>
      <c r="P40" s="38" t="e">
        <f t="shared" ca="1" si="9"/>
        <v>#NAME?</v>
      </c>
      <c r="Q40" s="38" t="e">
        <f t="shared" ca="1" si="13"/>
        <v>#NAME?</v>
      </c>
      <c r="R40" s="38" t="e">
        <f t="shared" ca="1" si="14"/>
        <v>#NAME?</v>
      </c>
      <c r="S40" s="38">
        <f t="shared" si="0"/>
        <v>0</v>
      </c>
      <c r="T40" s="38" t="e">
        <f t="shared" ca="1" si="1"/>
        <v>#NAME?</v>
      </c>
    </row>
    <row r="41" spans="1:20" ht="20.25" hidden="1" customHeight="1">
      <c r="A41" s="62"/>
      <c r="B41" s="6" t="str">
        <f t="shared" si="2"/>
        <v/>
      </c>
      <c r="C41" s="117" t="str">
        <f t="shared" si="6"/>
        <v/>
      </c>
      <c r="D41" s="7" t="str">
        <f t="shared" si="3"/>
        <v/>
      </c>
      <c r="E41" s="7" t="str">
        <f t="shared" si="10"/>
        <v/>
      </c>
      <c r="F41" s="7" t="str">
        <f t="shared" si="7"/>
        <v/>
      </c>
      <c r="G41" s="8" t="str">
        <f t="shared" si="15"/>
        <v/>
      </c>
      <c r="H41" s="8" t="str">
        <f t="shared" si="16"/>
        <v/>
      </c>
      <c r="I41" s="9" t="str">
        <f t="shared" si="17"/>
        <v/>
      </c>
      <c r="J41" s="66"/>
      <c r="K41" s="11"/>
      <c r="L41" s="11"/>
      <c r="M41" s="6" t="str">
        <f t="shared" si="8"/>
        <v/>
      </c>
      <c r="N41" s="40" t="s">
        <v>76</v>
      </c>
      <c r="O41" s="38">
        <f t="shared" si="12"/>
        <v>0</v>
      </c>
      <c r="P41" s="38" t="e">
        <f t="shared" ca="1" si="9"/>
        <v>#NAME?</v>
      </c>
      <c r="Q41" s="38" t="e">
        <f t="shared" ca="1" si="13"/>
        <v>#NAME?</v>
      </c>
      <c r="R41" s="38" t="e">
        <f t="shared" ca="1" si="14"/>
        <v>#NAME?</v>
      </c>
      <c r="S41" s="38">
        <f t="shared" si="0"/>
        <v>0</v>
      </c>
      <c r="T41" s="38" t="e">
        <f t="shared" ca="1" si="1"/>
        <v>#NAME?</v>
      </c>
    </row>
    <row r="42" spans="1:20" ht="20.25" hidden="1" customHeight="1">
      <c r="A42" s="62"/>
      <c r="B42" s="6" t="str">
        <f t="shared" si="2"/>
        <v/>
      </c>
      <c r="C42" s="117" t="str">
        <f t="shared" si="6"/>
        <v/>
      </c>
      <c r="D42" s="7" t="str">
        <f t="shared" si="3"/>
        <v/>
      </c>
      <c r="E42" s="7" t="str">
        <f t="shared" si="10"/>
        <v/>
      </c>
      <c r="F42" s="7" t="str">
        <f t="shared" si="7"/>
        <v/>
      </c>
      <c r="G42" s="8" t="str">
        <f t="shared" si="15"/>
        <v/>
      </c>
      <c r="H42" s="8" t="str">
        <f t="shared" si="16"/>
        <v/>
      </c>
      <c r="I42" s="9" t="str">
        <f t="shared" si="17"/>
        <v/>
      </c>
      <c r="J42" s="66"/>
      <c r="K42" s="11"/>
      <c r="L42" s="11"/>
      <c r="M42" s="6" t="str">
        <f t="shared" si="8"/>
        <v/>
      </c>
      <c r="N42" s="40" t="s">
        <v>77</v>
      </c>
      <c r="O42" s="38">
        <f t="shared" si="12"/>
        <v>0</v>
      </c>
      <c r="P42" s="38" t="e">
        <f t="shared" ca="1" si="9"/>
        <v>#NAME?</v>
      </c>
      <c r="Q42" s="38" t="e">
        <f t="shared" ca="1" si="13"/>
        <v>#NAME?</v>
      </c>
      <c r="R42" s="38" t="e">
        <f t="shared" ca="1" si="14"/>
        <v>#NAME?</v>
      </c>
      <c r="S42" s="38">
        <f t="shared" si="0"/>
        <v>0</v>
      </c>
      <c r="T42" s="38" t="e">
        <f t="shared" ca="1" si="1"/>
        <v>#NAME?</v>
      </c>
    </row>
    <row r="43" spans="1:20" ht="20.25" hidden="1" customHeight="1">
      <c r="A43" s="62"/>
      <c r="B43" s="6" t="str">
        <f t="shared" si="2"/>
        <v/>
      </c>
      <c r="C43" s="117" t="str">
        <f t="shared" si="6"/>
        <v/>
      </c>
      <c r="D43" s="7" t="str">
        <f t="shared" si="3"/>
        <v/>
      </c>
      <c r="E43" s="7" t="str">
        <f t="shared" si="10"/>
        <v/>
      </c>
      <c r="F43" s="7" t="str">
        <f t="shared" si="7"/>
        <v/>
      </c>
      <c r="G43" s="8" t="str">
        <f t="shared" si="15"/>
        <v/>
      </c>
      <c r="H43" s="8" t="str">
        <f t="shared" si="16"/>
        <v/>
      </c>
      <c r="I43" s="9" t="str">
        <f t="shared" si="17"/>
        <v/>
      </c>
      <c r="J43" s="66"/>
      <c r="K43" s="11"/>
      <c r="L43" s="11"/>
      <c r="M43" s="6" t="str">
        <f t="shared" si="8"/>
        <v/>
      </c>
      <c r="N43" s="40" t="s">
        <v>78</v>
      </c>
      <c r="O43" s="38">
        <f t="shared" si="12"/>
        <v>0</v>
      </c>
      <c r="P43" s="38" t="e">
        <f t="shared" ca="1" si="9"/>
        <v>#NAME?</v>
      </c>
      <c r="Q43" s="38" t="e">
        <f t="shared" ca="1" si="13"/>
        <v>#NAME?</v>
      </c>
      <c r="R43" s="38" t="e">
        <f t="shared" ca="1" si="14"/>
        <v>#NAME?</v>
      </c>
      <c r="S43" s="38">
        <f t="shared" si="0"/>
        <v>0</v>
      </c>
      <c r="T43" s="38" t="e">
        <f t="shared" ca="1" si="1"/>
        <v>#NAME?</v>
      </c>
    </row>
    <row r="44" spans="1:20" ht="20.25" hidden="1" customHeight="1">
      <c r="A44" s="62"/>
      <c r="B44" s="6" t="str">
        <f t="shared" si="2"/>
        <v/>
      </c>
      <c r="C44" s="117" t="str">
        <f t="shared" si="6"/>
        <v/>
      </c>
      <c r="D44" s="7" t="str">
        <f t="shared" si="3"/>
        <v/>
      </c>
      <c r="E44" s="7" t="str">
        <f t="shared" si="10"/>
        <v/>
      </c>
      <c r="F44" s="7" t="str">
        <f t="shared" si="7"/>
        <v/>
      </c>
      <c r="G44" s="8" t="str">
        <f t="shared" si="15"/>
        <v/>
      </c>
      <c r="H44" s="8" t="str">
        <f t="shared" si="16"/>
        <v/>
      </c>
      <c r="I44" s="9" t="str">
        <f t="shared" si="17"/>
        <v/>
      </c>
      <c r="J44" s="66"/>
      <c r="K44" s="11"/>
      <c r="L44" s="11"/>
      <c r="M44" s="6" t="str">
        <f t="shared" si="8"/>
        <v/>
      </c>
      <c r="N44" s="40" t="s">
        <v>79</v>
      </c>
      <c r="O44" s="38">
        <f t="shared" si="12"/>
        <v>0</v>
      </c>
      <c r="P44" s="38" t="e">
        <f t="shared" ca="1" si="9"/>
        <v>#NAME?</v>
      </c>
      <c r="Q44" s="38" t="e">
        <f t="shared" ca="1" si="13"/>
        <v>#NAME?</v>
      </c>
      <c r="R44" s="38" t="e">
        <f t="shared" ca="1" si="14"/>
        <v>#NAME?</v>
      </c>
      <c r="S44" s="38">
        <f t="shared" si="0"/>
        <v>0</v>
      </c>
      <c r="T44" s="38" t="e">
        <f t="shared" ca="1" si="1"/>
        <v>#NAME?</v>
      </c>
    </row>
    <row r="45" spans="1:20" ht="20.25" hidden="1" customHeight="1">
      <c r="A45" s="62"/>
      <c r="B45" s="6" t="str">
        <f t="shared" si="2"/>
        <v/>
      </c>
      <c r="C45" s="117" t="str">
        <f t="shared" si="6"/>
        <v/>
      </c>
      <c r="D45" s="7" t="str">
        <f t="shared" si="3"/>
        <v/>
      </c>
      <c r="E45" s="7" t="str">
        <f t="shared" si="10"/>
        <v/>
      </c>
      <c r="F45" s="7" t="str">
        <f t="shared" si="7"/>
        <v/>
      </c>
      <c r="G45" s="8" t="str">
        <f t="shared" si="15"/>
        <v/>
      </c>
      <c r="H45" s="8" t="str">
        <f t="shared" si="16"/>
        <v/>
      </c>
      <c r="I45" s="9" t="str">
        <f t="shared" si="17"/>
        <v/>
      </c>
      <c r="J45" s="66"/>
      <c r="K45" s="11"/>
      <c r="L45" s="11"/>
      <c r="M45" s="6" t="str">
        <f t="shared" si="8"/>
        <v/>
      </c>
      <c r="N45" s="40" t="s">
        <v>80</v>
      </c>
      <c r="O45" s="38">
        <f t="shared" si="12"/>
        <v>0</v>
      </c>
      <c r="P45" s="38" t="e">
        <f t="shared" ca="1" si="9"/>
        <v>#NAME?</v>
      </c>
      <c r="Q45" s="38" t="e">
        <f t="shared" ca="1" si="13"/>
        <v>#NAME?</v>
      </c>
      <c r="R45" s="38" t="e">
        <f t="shared" ca="1" si="14"/>
        <v>#NAME?</v>
      </c>
      <c r="S45" s="38">
        <f t="shared" si="0"/>
        <v>0</v>
      </c>
      <c r="T45" s="38" t="e">
        <f t="shared" ca="1" si="1"/>
        <v>#NAME?</v>
      </c>
    </row>
    <row r="46" spans="1:20" ht="20.25" hidden="1" customHeight="1">
      <c r="A46" s="62"/>
      <c r="B46" s="6" t="str">
        <f t="shared" si="2"/>
        <v/>
      </c>
      <c r="C46" s="117" t="str">
        <f t="shared" si="6"/>
        <v/>
      </c>
      <c r="D46" s="7" t="str">
        <f t="shared" si="3"/>
        <v/>
      </c>
      <c r="E46" s="7" t="str">
        <f t="shared" si="10"/>
        <v/>
      </c>
      <c r="F46" s="7" t="str">
        <f t="shared" si="7"/>
        <v/>
      </c>
      <c r="G46" s="8" t="str">
        <f t="shared" si="15"/>
        <v/>
      </c>
      <c r="H46" s="8" t="str">
        <f t="shared" si="16"/>
        <v/>
      </c>
      <c r="I46" s="9" t="str">
        <f t="shared" si="17"/>
        <v/>
      </c>
      <c r="J46" s="66"/>
      <c r="K46" s="11"/>
      <c r="L46" s="11"/>
      <c r="M46" s="6" t="str">
        <f t="shared" si="8"/>
        <v/>
      </c>
      <c r="N46" s="40" t="s">
        <v>81</v>
      </c>
      <c r="O46" s="38">
        <f t="shared" si="12"/>
        <v>0</v>
      </c>
      <c r="P46" s="38" t="e">
        <f t="shared" ca="1" si="9"/>
        <v>#NAME?</v>
      </c>
      <c r="Q46" s="38" t="e">
        <f t="shared" ca="1" si="13"/>
        <v>#NAME?</v>
      </c>
      <c r="R46" s="38" t="e">
        <f t="shared" ca="1" si="14"/>
        <v>#NAME?</v>
      </c>
      <c r="S46" s="38">
        <f t="shared" si="0"/>
        <v>0</v>
      </c>
      <c r="T46" s="38" t="e">
        <f t="shared" ca="1" si="1"/>
        <v>#NAME?</v>
      </c>
    </row>
    <row r="47" spans="1:20" ht="20.25" hidden="1" customHeight="1">
      <c r="A47" s="62"/>
      <c r="B47" s="6" t="str">
        <f t="shared" si="2"/>
        <v/>
      </c>
      <c r="C47" s="117" t="str">
        <f t="shared" si="6"/>
        <v/>
      </c>
      <c r="D47" s="7" t="str">
        <f t="shared" si="3"/>
        <v/>
      </c>
      <c r="E47" s="7" t="str">
        <f t="shared" si="10"/>
        <v/>
      </c>
      <c r="F47" s="7" t="str">
        <f t="shared" si="7"/>
        <v/>
      </c>
      <c r="G47" s="8" t="str">
        <f t="shared" si="15"/>
        <v/>
      </c>
      <c r="H47" s="8" t="str">
        <f t="shared" si="16"/>
        <v/>
      </c>
      <c r="I47" s="9" t="str">
        <f t="shared" si="17"/>
        <v/>
      </c>
      <c r="J47" s="66"/>
      <c r="K47" s="11"/>
      <c r="L47" s="11"/>
      <c r="M47" s="6" t="str">
        <f t="shared" si="8"/>
        <v/>
      </c>
      <c r="N47" s="40" t="s">
        <v>82</v>
      </c>
      <c r="O47" s="38">
        <f t="shared" si="12"/>
        <v>0</v>
      </c>
      <c r="P47" s="38" t="e">
        <f t="shared" ca="1" si="9"/>
        <v>#NAME?</v>
      </c>
      <c r="Q47" s="38" t="e">
        <f t="shared" ca="1" si="13"/>
        <v>#NAME?</v>
      </c>
      <c r="R47" s="38" t="e">
        <f t="shared" ca="1" si="14"/>
        <v>#NAME?</v>
      </c>
      <c r="S47" s="38">
        <f t="shared" si="0"/>
        <v>0</v>
      </c>
      <c r="T47" s="38" t="e">
        <f t="shared" ca="1" si="1"/>
        <v>#NAME?</v>
      </c>
    </row>
    <row r="48" spans="1:20" ht="20.25" hidden="1" customHeight="1">
      <c r="A48" s="62"/>
      <c r="B48" s="6" t="str">
        <f t="shared" si="2"/>
        <v/>
      </c>
      <c r="C48" s="117" t="str">
        <f t="shared" si="6"/>
        <v/>
      </c>
      <c r="D48" s="7" t="str">
        <f t="shared" si="3"/>
        <v/>
      </c>
      <c r="E48" s="7" t="str">
        <f t="shared" si="10"/>
        <v/>
      </c>
      <c r="F48" s="7" t="str">
        <f t="shared" si="7"/>
        <v/>
      </c>
      <c r="G48" s="8" t="str">
        <f t="shared" si="15"/>
        <v/>
      </c>
      <c r="H48" s="8" t="str">
        <f t="shared" si="16"/>
        <v/>
      </c>
      <c r="I48" s="9" t="str">
        <f t="shared" si="17"/>
        <v/>
      </c>
      <c r="J48" s="66"/>
      <c r="K48" s="11"/>
      <c r="L48" s="11"/>
      <c r="M48" s="6" t="str">
        <f t="shared" si="8"/>
        <v/>
      </c>
      <c r="N48" s="40" t="s">
        <v>83</v>
      </c>
      <c r="O48" s="38">
        <f t="shared" si="12"/>
        <v>0</v>
      </c>
      <c r="P48" s="38" t="e">
        <f t="shared" ca="1" si="9"/>
        <v>#NAME?</v>
      </c>
      <c r="Q48" s="38" t="e">
        <f t="shared" ca="1" si="13"/>
        <v>#NAME?</v>
      </c>
      <c r="R48" s="38" t="e">
        <f t="shared" ca="1" si="14"/>
        <v>#NAME?</v>
      </c>
      <c r="S48" s="38">
        <f t="shared" si="0"/>
        <v>0</v>
      </c>
      <c r="T48" s="38" t="e">
        <f t="shared" ca="1" si="1"/>
        <v>#NAME?</v>
      </c>
    </row>
    <row r="49" spans="1:20" ht="20.25" hidden="1" customHeight="1">
      <c r="A49" s="62"/>
      <c r="B49" s="6" t="str">
        <f t="shared" si="2"/>
        <v/>
      </c>
      <c r="C49" s="117" t="str">
        <f t="shared" si="6"/>
        <v/>
      </c>
      <c r="D49" s="7" t="str">
        <f t="shared" si="3"/>
        <v/>
      </c>
      <c r="E49" s="7" t="str">
        <f t="shared" si="10"/>
        <v/>
      </c>
      <c r="F49" s="7" t="str">
        <f t="shared" si="7"/>
        <v/>
      </c>
      <c r="G49" s="8" t="str">
        <f t="shared" si="15"/>
        <v/>
      </c>
      <c r="H49" s="8" t="str">
        <f t="shared" si="16"/>
        <v/>
      </c>
      <c r="I49" s="9" t="str">
        <f t="shared" si="17"/>
        <v/>
      </c>
      <c r="J49" s="66"/>
      <c r="K49" s="11"/>
      <c r="L49" s="11"/>
      <c r="M49" s="6" t="str">
        <f t="shared" si="8"/>
        <v/>
      </c>
      <c r="N49" s="40" t="s">
        <v>84</v>
      </c>
      <c r="O49" s="38">
        <f t="shared" si="12"/>
        <v>0</v>
      </c>
      <c r="P49" s="38" t="e">
        <f t="shared" ca="1" si="9"/>
        <v>#NAME?</v>
      </c>
      <c r="Q49" s="38" t="e">
        <f t="shared" ca="1" si="13"/>
        <v>#NAME?</v>
      </c>
      <c r="R49" s="38" t="e">
        <f t="shared" ca="1" si="14"/>
        <v>#NAME?</v>
      </c>
      <c r="S49" s="38">
        <f t="shared" si="0"/>
        <v>0</v>
      </c>
      <c r="T49" s="38" t="e">
        <f t="shared" ca="1" si="1"/>
        <v>#NAME?</v>
      </c>
    </row>
    <row r="50" spans="1:20" ht="20.25" hidden="1" customHeight="1">
      <c r="A50" s="62"/>
      <c r="B50" s="6" t="str">
        <f t="shared" si="2"/>
        <v/>
      </c>
      <c r="C50" s="117" t="str">
        <f t="shared" si="6"/>
        <v/>
      </c>
      <c r="D50" s="7" t="str">
        <f t="shared" si="3"/>
        <v/>
      </c>
      <c r="E50" s="7" t="str">
        <f t="shared" si="10"/>
        <v/>
      </c>
      <c r="F50" s="7" t="str">
        <f t="shared" si="7"/>
        <v/>
      </c>
      <c r="G50" s="8" t="str">
        <f t="shared" si="15"/>
        <v/>
      </c>
      <c r="H50" s="8" t="str">
        <f t="shared" si="16"/>
        <v/>
      </c>
      <c r="I50" s="9" t="str">
        <f t="shared" si="17"/>
        <v/>
      </c>
      <c r="J50" s="66"/>
      <c r="K50" s="11"/>
      <c r="L50" s="11"/>
      <c r="M50" s="6" t="str">
        <f t="shared" si="8"/>
        <v/>
      </c>
      <c r="N50" s="40" t="s">
        <v>85</v>
      </c>
      <c r="O50" s="38">
        <f t="shared" si="12"/>
        <v>0</v>
      </c>
      <c r="P50" s="38" t="e">
        <f t="shared" ca="1" si="9"/>
        <v>#NAME?</v>
      </c>
      <c r="Q50" s="38" t="e">
        <f t="shared" ca="1" si="13"/>
        <v>#NAME?</v>
      </c>
      <c r="R50" s="38" t="e">
        <f t="shared" ca="1" si="14"/>
        <v>#NAME?</v>
      </c>
      <c r="S50" s="38">
        <f t="shared" si="0"/>
        <v>0</v>
      </c>
      <c r="T50" s="38" t="e">
        <f t="shared" ca="1" si="1"/>
        <v>#NAME?</v>
      </c>
    </row>
    <row r="51" spans="1:20" ht="20.25" hidden="1" customHeight="1">
      <c r="A51" s="62"/>
      <c r="B51" s="6" t="str">
        <f t="shared" si="2"/>
        <v/>
      </c>
      <c r="C51" s="117" t="str">
        <f t="shared" si="6"/>
        <v/>
      </c>
      <c r="D51" s="7" t="str">
        <f t="shared" si="3"/>
        <v/>
      </c>
      <c r="E51" s="7" t="str">
        <f t="shared" si="10"/>
        <v/>
      </c>
      <c r="F51" s="7" t="str">
        <f t="shared" si="7"/>
        <v/>
      </c>
      <c r="G51" s="8" t="str">
        <f t="shared" si="15"/>
        <v/>
      </c>
      <c r="H51" s="8" t="str">
        <f t="shared" si="16"/>
        <v/>
      </c>
      <c r="I51" s="9" t="str">
        <f t="shared" si="17"/>
        <v/>
      </c>
      <c r="J51" s="66"/>
      <c r="K51" s="11"/>
      <c r="L51" s="11"/>
      <c r="M51" s="6" t="str">
        <f t="shared" si="8"/>
        <v/>
      </c>
      <c r="N51" s="40" t="s">
        <v>86</v>
      </c>
      <c r="O51" s="38">
        <f t="shared" si="12"/>
        <v>0</v>
      </c>
      <c r="P51" s="38" t="e">
        <f t="shared" ca="1" si="9"/>
        <v>#NAME?</v>
      </c>
      <c r="Q51" s="38" t="e">
        <f t="shared" ca="1" si="13"/>
        <v>#NAME?</v>
      </c>
      <c r="R51" s="38" t="e">
        <f t="shared" ca="1" si="14"/>
        <v>#NAME?</v>
      </c>
      <c r="S51" s="38">
        <f t="shared" si="0"/>
        <v>0</v>
      </c>
      <c r="T51" s="38" t="e">
        <f t="shared" ca="1" si="1"/>
        <v>#NAME?</v>
      </c>
    </row>
    <row r="52" spans="1:20" ht="20.25" hidden="1" customHeight="1">
      <c r="A52" s="62"/>
      <c r="B52" s="6" t="str">
        <f t="shared" si="2"/>
        <v/>
      </c>
      <c r="C52" s="117" t="str">
        <f t="shared" si="6"/>
        <v/>
      </c>
      <c r="D52" s="7" t="str">
        <f t="shared" si="3"/>
        <v/>
      </c>
      <c r="E52" s="7" t="str">
        <f t="shared" si="10"/>
        <v/>
      </c>
      <c r="F52" s="7" t="str">
        <f t="shared" si="7"/>
        <v/>
      </c>
      <c r="G52" s="8" t="str">
        <f t="shared" si="15"/>
        <v/>
      </c>
      <c r="H52" s="8" t="str">
        <f t="shared" si="16"/>
        <v/>
      </c>
      <c r="I52" s="9" t="str">
        <f t="shared" si="17"/>
        <v/>
      </c>
      <c r="J52" s="66"/>
      <c r="K52" s="11"/>
      <c r="L52" s="11"/>
      <c r="M52" s="6" t="str">
        <f t="shared" si="8"/>
        <v/>
      </c>
      <c r="N52" s="40" t="s">
        <v>87</v>
      </c>
      <c r="O52" s="38">
        <f t="shared" si="12"/>
        <v>0</v>
      </c>
      <c r="P52" s="38" t="e">
        <f t="shared" ca="1" si="9"/>
        <v>#NAME?</v>
      </c>
      <c r="Q52" s="38" t="e">
        <f t="shared" ca="1" si="13"/>
        <v>#NAME?</v>
      </c>
      <c r="R52" s="38" t="e">
        <f t="shared" ca="1" si="14"/>
        <v>#NAME?</v>
      </c>
      <c r="S52" s="38">
        <f t="shared" si="0"/>
        <v>0</v>
      </c>
      <c r="T52" s="38" t="e">
        <f t="shared" ca="1" si="1"/>
        <v>#NAME?</v>
      </c>
    </row>
    <row r="53" spans="1:20" ht="20.25" hidden="1" customHeight="1">
      <c r="A53" s="62"/>
      <c r="B53" s="6" t="str">
        <f t="shared" si="2"/>
        <v/>
      </c>
      <c r="C53" s="117" t="str">
        <f t="shared" si="6"/>
        <v/>
      </c>
      <c r="D53" s="7" t="str">
        <f t="shared" si="3"/>
        <v/>
      </c>
      <c r="E53" s="7" t="str">
        <f t="shared" si="10"/>
        <v/>
      </c>
      <c r="F53" s="7" t="str">
        <f t="shared" si="7"/>
        <v/>
      </c>
      <c r="G53" s="8" t="str">
        <f t="shared" si="15"/>
        <v/>
      </c>
      <c r="H53" s="8" t="str">
        <f t="shared" si="16"/>
        <v/>
      </c>
      <c r="I53" s="9" t="str">
        <f t="shared" si="17"/>
        <v/>
      </c>
      <c r="J53" s="66"/>
      <c r="K53" s="11"/>
      <c r="L53" s="11"/>
      <c r="M53" s="6" t="str">
        <f t="shared" si="8"/>
        <v/>
      </c>
      <c r="N53" s="40" t="s">
        <v>88</v>
      </c>
      <c r="O53" s="38">
        <f t="shared" si="12"/>
        <v>0</v>
      </c>
      <c r="P53" s="38" t="e">
        <f t="shared" ca="1" si="9"/>
        <v>#NAME?</v>
      </c>
      <c r="Q53" s="38" t="e">
        <f t="shared" ca="1" si="13"/>
        <v>#NAME?</v>
      </c>
      <c r="R53" s="38" t="e">
        <f t="shared" ca="1" si="14"/>
        <v>#NAME?</v>
      </c>
      <c r="S53" s="38">
        <f t="shared" si="0"/>
        <v>0</v>
      </c>
      <c r="T53" s="38" t="e">
        <f t="shared" ca="1" si="1"/>
        <v>#NAME?</v>
      </c>
    </row>
    <row r="54" spans="1:20" ht="20.25" hidden="1" customHeight="1">
      <c r="A54" s="62"/>
      <c r="B54" s="6" t="str">
        <f t="shared" si="2"/>
        <v/>
      </c>
      <c r="C54" s="117" t="str">
        <f t="shared" si="6"/>
        <v/>
      </c>
      <c r="D54" s="7" t="str">
        <f t="shared" si="3"/>
        <v/>
      </c>
      <c r="E54" s="7" t="str">
        <f t="shared" si="10"/>
        <v/>
      </c>
      <c r="F54" s="7" t="str">
        <f t="shared" si="7"/>
        <v/>
      </c>
      <c r="G54" s="8" t="str">
        <f t="shared" si="15"/>
        <v/>
      </c>
      <c r="H54" s="8" t="str">
        <f t="shared" si="16"/>
        <v/>
      </c>
      <c r="I54" s="9" t="str">
        <f t="shared" si="17"/>
        <v/>
      </c>
      <c r="J54" s="66"/>
      <c r="K54" s="11"/>
      <c r="L54" s="11"/>
      <c r="M54" s="6" t="str">
        <f t="shared" si="8"/>
        <v/>
      </c>
      <c r="N54" s="40" t="s">
        <v>89</v>
      </c>
      <c r="O54" s="38">
        <f t="shared" si="12"/>
        <v>0</v>
      </c>
      <c r="P54" s="38" t="e">
        <f t="shared" ca="1" si="9"/>
        <v>#NAME?</v>
      </c>
      <c r="Q54" s="38" t="e">
        <f t="shared" ca="1" si="13"/>
        <v>#NAME?</v>
      </c>
      <c r="R54" s="38" t="e">
        <f t="shared" ca="1" si="14"/>
        <v>#NAME?</v>
      </c>
      <c r="S54" s="38">
        <f t="shared" si="0"/>
        <v>0</v>
      </c>
      <c r="T54" s="38" t="e">
        <f t="shared" ca="1" si="1"/>
        <v>#NAME?</v>
      </c>
    </row>
    <row r="55" spans="1:20" ht="20.25" hidden="1" customHeight="1">
      <c r="A55" s="62"/>
      <c r="B55" s="6" t="str">
        <f t="shared" si="2"/>
        <v/>
      </c>
      <c r="C55" s="117" t="str">
        <f t="shared" si="6"/>
        <v/>
      </c>
      <c r="D55" s="7" t="str">
        <f t="shared" si="3"/>
        <v/>
      </c>
      <c r="E55" s="7" t="str">
        <f t="shared" si="10"/>
        <v/>
      </c>
      <c r="F55" s="7" t="str">
        <f t="shared" si="7"/>
        <v/>
      </c>
      <c r="G55" s="8" t="str">
        <f t="shared" si="15"/>
        <v/>
      </c>
      <c r="H55" s="8" t="str">
        <f t="shared" si="16"/>
        <v/>
      </c>
      <c r="I55" s="9" t="str">
        <f t="shared" si="17"/>
        <v/>
      </c>
      <c r="J55" s="66"/>
      <c r="K55" s="11"/>
      <c r="L55" s="11"/>
      <c r="M55" s="6" t="str">
        <f t="shared" si="8"/>
        <v/>
      </c>
      <c r="N55" s="40" t="s">
        <v>90</v>
      </c>
      <c r="O55" s="38">
        <f t="shared" si="12"/>
        <v>0</v>
      </c>
      <c r="P55" s="38" t="e">
        <f t="shared" ca="1" si="9"/>
        <v>#NAME?</v>
      </c>
      <c r="Q55" s="38" t="e">
        <f t="shared" ca="1" si="13"/>
        <v>#NAME?</v>
      </c>
      <c r="R55" s="38" t="e">
        <f t="shared" ca="1" si="14"/>
        <v>#NAME?</v>
      </c>
      <c r="S55" s="38">
        <f t="shared" si="0"/>
        <v>0</v>
      </c>
      <c r="T55" s="38" t="e">
        <f t="shared" ca="1" si="1"/>
        <v>#NAME?</v>
      </c>
    </row>
    <row r="56" spans="1:20" ht="20.25" hidden="1" customHeight="1">
      <c r="A56" s="62"/>
      <c r="B56" s="6" t="str">
        <f t="shared" si="2"/>
        <v/>
      </c>
      <c r="C56" s="117" t="str">
        <f t="shared" si="6"/>
        <v/>
      </c>
      <c r="D56" s="7" t="str">
        <f t="shared" si="3"/>
        <v/>
      </c>
      <c r="E56" s="7" t="str">
        <f t="shared" si="10"/>
        <v/>
      </c>
      <c r="F56" s="7" t="str">
        <f t="shared" si="7"/>
        <v/>
      </c>
      <c r="G56" s="8" t="str">
        <f t="shared" si="15"/>
        <v/>
      </c>
      <c r="H56" s="8" t="str">
        <f t="shared" si="16"/>
        <v/>
      </c>
      <c r="I56" s="9" t="str">
        <f t="shared" si="17"/>
        <v/>
      </c>
      <c r="J56" s="66"/>
      <c r="K56" s="11"/>
      <c r="L56" s="11"/>
      <c r="M56" s="6" t="str">
        <f t="shared" si="8"/>
        <v/>
      </c>
      <c r="N56" s="40" t="s">
        <v>91</v>
      </c>
      <c r="O56" s="38">
        <f t="shared" si="12"/>
        <v>0</v>
      </c>
      <c r="P56" s="38" t="e">
        <f t="shared" ca="1" si="9"/>
        <v>#NAME?</v>
      </c>
      <c r="Q56" s="38" t="e">
        <f t="shared" ca="1" si="13"/>
        <v>#NAME?</v>
      </c>
      <c r="R56" s="38" t="e">
        <f t="shared" ca="1" si="14"/>
        <v>#NAME?</v>
      </c>
      <c r="S56" s="38">
        <f t="shared" si="0"/>
        <v>0</v>
      </c>
      <c r="T56" s="38" t="e">
        <f t="shared" ca="1" si="1"/>
        <v>#NAME?</v>
      </c>
    </row>
    <row r="57" spans="1:20" ht="20.25" hidden="1" customHeight="1">
      <c r="A57" s="62"/>
      <c r="B57" s="6" t="str">
        <f t="shared" si="2"/>
        <v/>
      </c>
      <c r="C57" s="117" t="str">
        <f t="shared" si="6"/>
        <v/>
      </c>
      <c r="D57" s="7" t="str">
        <f t="shared" si="3"/>
        <v/>
      </c>
      <c r="E57" s="7" t="str">
        <f t="shared" si="10"/>
        <v/>
      </c>
      <c r="F57" s="7" t="str">
        <f t="shared" si="7"/>
        <v/>
      </c>
      <c r="G57" s="8" t="str">
        <f t="shared" si="15"/>
        <v/>
      </c>
      <c r="H57" s="8" t="str">
        <f t="shared" si="16"/>
        <v/>
      </c>
      <c r="I57" s="9" t="str">
        <f t="shared" si="17"/>
        <v/>
      </c>
      <c r="J57" s="66"/>
      <c r="K57" s="11"/>
      <c r="L57" s="11"/>
      <c r="M57" s="6" t="str">
        <f t="shared" si="8"/>
        <v/>
      </c>
      <c r="N57" s="40" t="s">
        <v>92</v>
      </c>
      <c r="O57" s="38">
        <f t="shared" si="12"/>
        <v>0</v>
      </c>
      <c r="P57" s="38" t="e">
        <f t="shared" ca="1" si="9"/>
        <v>#NAME?</v>
      </c>
      <c r="Q57" s="38" t="e">
        <f t="shared" ca="1" si="13"/>
        <v>#NAME?</v>
      </c>
      <c r="R57" s="38" t="e">
        <f t="shared" ca="1" si="14"/>
        <v>#NAME?</v>
      </c>
      <c r="S57" s="38">
        <f t="shared" si="0"/>
        <v>0</v>
      </c>
      <c r="T57" s="38" t="e">
        <f t="shared" ca="1" si="1"/>
        <v>#NAME?</v>
      </c>
    </row>
    <row r="58" spans="1:20" ht="20.25" hidden="1" customHeight="1">
      <c r="A58" s="62"/>
      <c r="B58" s="6" t="str">
        <f t="shared" si="2"/>
        <v/>
      </c>
      <c r="C58" s="117" t="str">
        <f t="shared" si="6"/>
        <v/>
      </c>
      <c r="D58" s="7" t="str">
        <f t="shared" si="3"/>
        <v/>
      </c>
      <c r="E58" s="7" t="str">
        <f t="shared" si="10"/>
        <v/>
      </c>
      <c r="F58" s="7" t="str">
        <f t="shared" si="7"/>
        <v/>
      </c>
      <c r="G58" s="8" t="str">
        <f t="shared" si="15"/>
        <v/>
      </c>
      <c r="H58" s="8" t="str">
        <f t="shared" si="16"/>
        <v/>
      </c>
      <c r="I58" s="9" t="str">
        <f t="shared" si="17"/>
        <v/>
      </c>
      <c r="J58" s="66"/>
      <c r="K58" s="11"/>
      <c r="L58" s="11"/>
      <c r="M58" s="6" t="str">
        <f t="shared" si="8"/>
        <v/>
      </c>
      <c r="N58" s="40" t="s">
        <v>93</v>
      </c>
      <c r="O58" s="38">
        <f t="shared" si="12"/>
        <v>0</v>
      </c>
      <c r="P58" s="38" t="e">
        <f t="shared" ca="1" si="9"/>
        <v>#NAME?</v>
      </c>
      <c r="Q58" s="38" t="e">
        <f t="shared" ca="1" si="13"/>
        <v>#NAME?</v>
      </c>
      <c r="R58" s="38" t="e">
        <f t="shared" ca="1" si="14"/>
        <v>#NAME?</v>
      </c>
      <c r="S58" s="38">
        <f t="shared" si="0"/>
        <v>0</v>
      </c>
      <c r="T58" s="38" t="e">
        <f t="shared" ca="1" si="1"/>
        <v>#NAME?</v>
      </c>
    </row>
    <row r="59" spans="1:20" ht="14.25" customHeight="1">
      <c r="A59" s="62"/>
      <c r="B59" s="10"/>
      <c r="C59" s="10"/>
      <c r="D59" s="11"/>
      <c r="E59" s="11"/>
      <c r="F59" s="11"/>
      <c r="G59" s="12"/>
      <c r="H59" s="12"/>
      <c r="I59" s="13"/>
      <c r="J59" s="66"/>
      <c r="K59" s="11"/>
      <c r="L59" s="11"/>
      <c r="M59" s="1"/>
    </row>
    <row r="60" spans="1:20" ht="20.25" customHeight="1">
      <c r="A60" s="62"/>
      <c r="B60" s="67" t="s">
        <v>100</v>
      </c>
      <c r="C60" s="14">
        <f t="shared" ref="C60:D60" si="18">SUM(C19:C59)</f>
        <v>406000</v>
      </c>
      <c r="D60" s="14">
        <f t="shared" si="18"/>
        <v>5328.75</v>
      </c>
      <c r="E60" s="14">
        <f>SUM(E19:E59)</f>
        <v>4657.7222222222226</v>
      </c>
      <c r="F60" s="14"/>
      <c r="G60" s="14" t="e">
        <f ca="1">SUM(G19:G59)</f>
        <v>#NAME?</v>
      </c>
      <c r="H60" s="14" t="e">
        <f ca="1">SUM(H19:H59)</f>
        <v>#NAME?</v>
      </c>
      <c r="I60" s="14" t="e">
        <f ca="1">SUM(I19:I59)</f>
        <v>#NAME?</v>
      </c>
      <c r="J60" s="66"/>
      <c r="K60" s="47"/>
      <c r="L60" s="47"/>
      <c r="M60" s="45"/>
    </row>
    <row r="61" spans="1:20" s="15" customFormat="1" ht="15.75" customHeight="1">
      <c r="A61" s="87"/>
      <c r="B61" s="59"/>
      <c r="C61" s="3"/>
      <c r="D61" s="3"/>
      <c r="E61" s="3"/>
      <c r="F61" s="3"/>
      <c r="G61" s="3"/>
      <c r="H61" s="3"/>
      <c r="I61" s="3"/>
      <c r="J61" s="70"/>
      <c r="K61" s="45"/>
      <c r="L61" s="45"/>
      <c r="M61" s="45"/>
      <c r="N61" s="29"/>
      <c r="O61" s="1"/>
    </row>
    <row r="62" spans="1:20" s="15" customFormat="1" ht="20.25" customHeight="1">
      <c r="A62" s="87"/>
      <c r="B62" s="59" t="s">
        <v>103</v>
      </c>
      <c r="C62" s="3"/>
      <c r="D62" s="3"/>
      <c r="E62" s="3"/>
      <c r="F62" s="3"/>
      <c r="G62" s="3"/>
      <c r="H62" s="3"/>
      <c r="I62" s="3"/>
      <c r="J62" s="70"/>
      <c r="K62" s="45"/>
      <c r="L62" s="45"/>
      <c r="M62" s="45"/>
      <c r="N62" s="29"/>
      <c r="O62" s="1"/>
    </row>
    <row r="63" spans="1:20" s="15" customFormat="1" ht="20.25" customHeight="1">
      <c r="A63" s="87"/>
      <c r="B63" s="74" t="s">
        <v>104</v>
      </c>
      <c r="C63" s="3"/>
      <c r="D63" s="3"/>
      <c r="E63" s="3"/>
      <c r="F63" s="3"/>
      <c r="G63" s="3"/>
      <c r="H63" s="3"/>
      <c r="I63" s="3"/>
      <c r="J63" s="70"/>
      <c r="K63" s="45"/>
      <c r="L63" s="45"/>
      <c r="M63" s="48"/>
      <c r="N63" s="29"/>
      <c r="O63" s="1"/>
    </row>
    <row r="64" spans="1:20" s="17" customFormat="1" ht="20.25" customHeight="1">
      <c r="A64" s="88"/>
      <c r="B64" s="74" t="s">
        <v>111</v>
      </c>
      <c r="C64" s="16"/>
      <c r="D64" s="16"/>
      <c r="E64" s="16"/>
      <c r="F64" s="16"/>
      <c r="G64" s="16"/>
      <c r="H64" s="16"/>
      <c r="I64" s="16"/>
      <c r="J64" s="68"/>
      <c r="K64" s="58"/>
      <c r="L64" s="48"/>
      <c r="M64" s="48"/>
      <c r="N64" s="29"/>
      <c r="O64" s="30"/>
      <c r="P64" s="31"/>
      <c r="Q64" s="29"/>
    </row>
    <row r="65" spans="1:17" s="17" customFormat="1" ht="20.25" customHeight="1">
      <c r="A65" s="88"/>
      <c r="B65" s="75" t="s">
        <v>105</v>
      </c>
      <c r="C65" s="16"/>
      <c r="D65" s="16"/>
      <c r="E65" s="16"/>
      <c r="F65" s="16"/>
      <c r="G65" s="16"/>
      <c r="H65" s="16"/>
      <c r="I65" s="16"/>
      <c r="J65" s="68"/>
      <c r="K65" s="58"/>
      <c r="L65" s="48"/>
      <c r="M65" s="48"/>
      <c r="N65" s="29"/>
      <c r="O65" s="30"/>
      <c r="P65" s="31"/>
      <c r="Q65" s="29"/>
    </row>
    <row r="66" spans="1:17" s="17" customFormat="1" ht="20.25" customHeight="1">
      <c r="A66" s="88"/>
      <c r="B66" s="75" t="s">
        <v>106</v>
      </c>
      <c r="C66" s="16"/>
      <c r="D66" s="16"/>
      <c r="E66" s="16"/>
      <c r="F66" s="16"/>
      <c r="G66" s="16"/>
      <c r="H66" s="16"/>
      <c r="I66" s="16"/>
      <c r="J66" s="68"/>
      <c r="K66" s="16"/>
      <c r="L66" s="28"/>
      <c r="M66" s="49"/>
      <c r="N66" s="33"/>
      <c r="O66" s="30"/>
      <c r="P66" s="29"/>
      <c r="Q66" s="29"/>
    </row>
    <row r="67" spans="1:17" s="19" customFormat="1" ht="20.25" customHeight="1">
      <c r="A67" s="89"/>
      <c r="B67" s="76" t="s">
        <v>107</v>
      </c>
      <c r="C67" s="18"/>
      <c r="D67" s="18"/>
      <c r="E67" s="18"/>
      <c r="F67" s="18"/>
      <c r="G67" s="18"/>
      <c r="H67" s="18"/>
      <c r="I67" s="18"/>
      <c r="J67" s="69"/>
      <c r="K67" s="18"/>
      <c r="L67" s="32"/>
      <c r="M67" s="49"/>
      <c r="N67" s="33"/>
      <c r="O67" s="30"/>
      <c r="P67" s="33"/>
      <c r="Q67" s="33"/>
    </row>
    <row r="68" spans="1:17" s="19" customFormat="1" ht="20.25" customHeight="1">
      <c r="A68" s="89"/>
      <c r="B68" s="76" t="s">
        <v>108</v>
      </c>
      <c r="C68" s="18"/>
      <c r="D68" s="18"/>
      <c r="E68" s="18"/>
      <c r="F68" s="18"/>
      <c r="G68" s="18"/>
      <c r="H68" s="18"/>
      <c r="I68" s="18"/>
      <c r="J68" s="69"/>
      <c r="K68" s="18"/>
      <c r="L68" s="32"/>
      <c r="M68" s="49"/>
      <c r="N68" s="33"/>
      <c r="O68" s="30"/>
      <c r="P68" s="33"/>
      <c r="Q68" s="33"/>
    </row>
    <row r="69" spans="1:17" s="19" customFormat="1" ht="20.25" customHeight="1">
      <c r="A69" s="89"/>
      <c r="B69" s="77" t="s">
        <v>102</v>
      </c>
      <c r="C69" s="18"/>
      <c r="D69" s="20"/>
      <c r="E69" s="20"/>
      <c r="F69" s="20"/>
      <c r="G69" s="20"/>
      <c r="H69" s="20"/>
      <c r="I69" s="20"/>
      <c r="J69" s="82"/>
      <c r="K69" s="18"/>
      <c r="L69" s="32"/>
      <c r="M69" s="50"/>
      <c r="N69" s="29"/>
      <c r="O69" s="30"/>
      <c r="P69" s="33"/>
      <c r="Q69" s="33"/>
    </row>
    <row r="70" spans="1:17" ht="20.25" customHeight="1">
      <c r="A70" s="62"/>
      <c r="B70" s="76" t="s">
        <v>109</v>
      </c>
      <c r="C70" s="3"/>
      <c r="D70" s="3"/>
      <c r="E70" s="3"/>
      <c r="F70" s="3"/>
      <c r="G70" s="3"/>
      <c r="H70" s="3"/>
      <c r="I70" s="3"/>
      <c r="J70" s="70"/>
      <c r="K70" s="3"/>
    </row>
    <row r="71" spans="1:17" ht="20.25" customHeight="1">
      <c r="A71" s="62"/>
      <c r="B71" s="76" t="s">
        <v>110</v>
      </c>
      <c r="C71" s="3"/>
      <c r="D71" s="3"/>
      <c r="E71" s="3"/>
      <c r="F71" s="3"/>
      <c r="G71" s="3"/>
      <c r="H71" s="3"/>
      <c r="I71" s="3"/>
      <c r="J71" s="70"/>
      <c r="K71" s="3"/>
    </row>
    <row r="72" spans="1:17" ht="20.25" customHeight="1">
      <c r="A72" s="62"/>
      <c r="B72" s="76" t="s">
        <v>118</v>
      </c>
      <c r="C72" s="3"/>
      <c r="D72" s="3"/>
      <c r="E72" s="3"/>
      <c r="F72" s="3"/>
      <c r="G72" s="3"/>
      <c r="H72" s="3"/>
      <c r="I72" s="3"/>
      <c r="J72" s="70"/>
      <c r="K72" s="3"/>
    </row>
    <row r="73" spans="1:17" ht="15.75" customHeight="1">
      <c r="A73" s="62"/>
      <c r="B73" s="76"/>
      <c r="C73" s="3"/>
      <c r="D73" s="3"/>
      <c r="E73" s="3"/>
      <c r="F73" s="3"/>
      <c r="G73" s="3"/>
      <c r="H73" s="3"/>
      <c r="I73" s="3"/>
      <c r="J73" s="70"/>
      <c r="K73" s="3"/>
    </row>
    <row r="74" spans="1:17" ht="15.75" customHeight="1">
      <c r="A74" s="62"/>
      <c r="B74" s="76"/>
      <c r="C74" s="3"/>
      <c r="D74" s="3"/>
      <c r="E74" s="3"/>
      <c r="F74" s="3"/>
      <c r="G74" s="3"/>
      <c r="H74" s="3"/>
      <c r="I74" s="3"/>
      <c r="J74" s="70"/>
      <c r="K74" s="3"/>
    </row>
    <row r="75" spans="1:17" ht="15.75" customHeight="1">
      <c r="A75" s="62"/>
      <c r="B75" s="76"/>
      <c r="C75" s="3"/>
      <c r="D75" s="3"/>
      <c r="E75" s="3"/>
      <c r="F75" s="3"/>
      <c r="G75" s="3"/>
      <c r="H75" s="3"/>
      <c r="I75" s="3"/>
      <c r="J75" s="70"/>
      <c r="K75" s="3"/>
    </row>
    <row r="76" spans="1:17" ht="15.75" customHeight="1">
      <c r="A76" s="62"/>
      <c r="B76" s="76"/>
      <c r="C76" s="3"/>
      <c r="D76" s="3"/>
      <c r="E76" s="3"/>
      <c r="F76" s="3"/>
      <c r="G76" s="3"/>
      <c r="H76" s="3"/>
      <c r="I76" s="3"/>
      <c r="J76" s="70"/>
      <c r="K76" s="3"/>
    </row>
    <row r="77" spans="1:17" ht="15.75" customHeight="1">
      <c r="A77" s="62"/>
      <c r="B77" s="76"/>
      <c r="C77" s="3"/>
      <c r="D77" s="3"/>
      <c r="E77" s="3"/>
      <c r="F77" s="3"/>
      <c r="G77" s="3"/>
      <c r="H77" s="3"/>
      <c r="I77" s="3"/>
      <c r="J77" s="70"/>
      <c r="K77" s="3"/>
    </row>
    <row r="78" spans="1:17" ht="15.75" customHeight="1">
      <c r="A78" s="62"/>
      <c r="B78" s="76"/>
      <c r="C78" s="3"/>
      <c r="D78" s="3"/>
      <c r="E78" s="3"/>
      <c r="F78" s="3"/>
      <c r="G78" s="3"/>
      <c r="H78" s="3"/>
      <c r="I78" s="3"/>
      <c r="J78" s="70"/>
      <c r="K78" s="3"/>
    </row>
    <row r="79" spans="1:17">
      <c r="A79" s="90"/>
      <c r="B79" s="71"/>
      <c r="C79" s="71"/>
      <c r="D79" s="71"/>
      <c r="E79" s="71"/>
      <c r="F79" s="71"/>
      <c r="G79" s="71"/>
      <c r="H79" s="71"/>
      <c r="I79" s="71"/>
      <c r="J79" s="72"/>
    </row>
  </sheetData>
  <mergeCells count="4">
    <mergeCell ref="B5:C5"/>
    <mergeCell ref="D5:E5"/>
    <mergeCell ref="F5:G5"/>
    <mergeCell ref="B2:I2"/>
  </mergeCells>
  <phoneticPr fontId="3" type="noConversion"/>
  <dataValidations count="3">
    <dataValidation type="list" showInputMessage="1" showErrorMessage="1" sqref="C3">
      <formula1>$N$7:$N$11</formula1>
    </dataValidation>
    <dataValidation type="list" allowBlank="1" showInputMessage="1" showErrorMessage="1" sqref="C12">
      <formula1>$O$7:$O$9</formula1>
    </dataValidation>
    <dataValidation type="list" allowBlank="1" showInputMessage="1" showErrorMessage="1" sqref="C11">
      <formula1>$P$7:$P$10</formula1>
    </dataValidation>
  </dataValidations>
  <printOptions horizontalCentered="1"/>
  <pageMargins left="0.23622047244094491" right="0.23622047244094491" top="1.1811023622047245" bottom="0.74803149606299213" header="0.31496062992125984" footer="0.31496062992125984"/>
  <pageSetup paperSize="9" scale="65" fitToHeight="0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topLeftCell="A4" workbookViewId="0">
      <selection activeCell="F17" sqref="F17"/>
    </sheetView>
  </sheetViews>
  <sheetFormatPr defaultRowHeight="16.5"/>
  <sheetData/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3</vt:i4>
      </vt:variant>
    </vt:vector>
  </HeadingPairs>
  <TitlesOfParts>
    <vt:vector size="7" baseType="lpstr">
      <vt:lpstr>템플릿</vt:lpstr>
      <vt:lpstr>한국전력_USD</vt:lpstr>
      <vt:lpstr>석유공사_USD</vt:lpstr>
      <vt:lpstr>블룸버그</vt:lpstr>
      <vt:lpstr>석유공사_USD!Print_Area</vt:lpstr>
      <vt:lpstr>템플릿!Print_Area</vt:lpstr>
      <vt:lpstr>한국전력_USD!Print_Area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HWPS</dc:creator>
  <cp:lastModifiedBy>infomax</cp:lastModifiedBy>
  <cp:lastPrinted>2024-12-27T08:22:14Z</cp:lastPrinted>
  <dcterms:created xsi:type="dcterms:W3CDTF">2023-01-19T05:31:23Z</dcterms:created>
  <dcterms:modified xsi:type="dcterms:W3CDTF">2026-08-21T08:54:49Z</dcterms:modified>
</cp:coreProperties>
</file>